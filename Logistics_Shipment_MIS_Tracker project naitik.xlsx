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tesh Chauhan\Downloads\"/>
    </mc:Choice>
  </mc:AlternateContent>
  <bookViews>
    <workbookView xWindow="0" yWindow="0" windowWidth="23040" windowHeight="8688" tabRatio="500" firstSheet="1" activeTab="6"/>
  </bookViews>
  <sheets>
    <sheet name="Read Me" sheetId="1" r:id="rId1"/>
    <sheet name="Dashboard" sheetId="2" r:id="rId2"/>
    <sheet name="MIS Report" sheetId="3" r:id="rId3"/>
    <sheet name="Shipment Data" sheetId="4" r:id="rId4"/>
    <sheet name="Doc Verification" sheetId="5" r:id="rId5"/>
    <sheet name="Data Quality" sheetId="6" r:id="rId6"/>
    <sheet name="Masters" sheetId="7" r:id="rId7"/>
  </sheets>
  <definedNames>
    <definedName name="_xlnm._FilterDatabase" localSheetId="4" hidden="1">'Doc Verification'!$A$1:$L$121</definedName>
    <definedName name="_xlnm._FilterDatabase" localSheetId="3" hidden="1">'Shipment Data'!$A$1:$Q$301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7" l="1"/>
  <c r="J121" i="5" s="1"/>
  <c r="L121" i="5" s="1"/>
  <c r="B18" i="6"/>
  <c r="B5" i="6"/>
  <c r="K121" i="5"/>
  <c r="K120" i="5"/>
  <c r="J120" i="5"/>
  <c r="L120" i="5" s="1"/>
  <c r="K119" i="5"/>
  <c r="J119" i="5"/>
  <c r="L119" i="5" s="1"/>
  <c r="K118" i="5"/>
  <c r="J118" i="5"/>
  <c r="L118" i="5" s="1"/>
  <c r="K117" i="5"/>
  <c r="K116" i="5"/>
  <c r="J116" i="5"/>
  <c r="L116" i="5" s="1"/>
  <c r="K115" i="5"/>
  <c r="J115" i="5"/>
  <c r="L115" i="5" s="1"/>
  <c r="L114" i="5"/>
  <c r="K114" i="5"/>
  <c r="J114" i="5"/>
  <c r="L113" i="5"/>
  <c r="K113" i="5"/>
  <c r="J113" i="5"/>
  <c r="K112" i="5"/>
  <c r="J112" i="5"/>
  <c r="L112" i="5" s="1"/>
  <c r="L111" i="5"/>
  <c r="K111" i="5"/>
  <c r="J111" i="5"/>
  <c r="L110" i="5"/>
  <c r="K110" i="5"/>
  <c r="J110" i="5"/>
  <c r="K109" i="5"/>
  <c r="K108" i="5"/>
  <c r="J108" i="5"/>
  <c r="L108" i="5" s="1"/>
  <c r="K107" i="5"/>
  <c r="J107" i="5"/>
  <c r="L107" i="5" s="1"/>
  <c r="L106" i="5"/>
  <c r="K106" i="5"/>
  <c r="J106" i="5"/>
  <c r="L105" i="5"/>
  <c r="K105" i="5"/>
  <c r="J105" i="5"/>
  <c r="K104" i="5"/>
  <c r="J104" i="5"/>
  <c r="L104" i="5" s="1"/>
  <c r="K103" i="5"/>
  <c r="J103" i="5"/>
  <c r="L103" i="5" s="1"/>
  <c r="L102" i="5"/>
  <c r="K102" i="5"/>
  <c r="J102" i="5"/>
  <c r="L101" i="5"/>
  <c r="K101" i="5"/>
  <c r="J101" i="5"/>
  <c r="K100" i="5"/>
  <c r="J100" i="5"/>
  <c r="L100" i="5" s="1"/>
  <c r="L99" i="5"/>
  <c r="K99" i="5"/>
  <c r="J99" i="5"/>
  <c r="L98" i="5"/>
  <c r="K98" i="5"/>
  <c r="J98" i="5"/>
  <c r="L97" i="5"/>
  <c r="K97" i="5"/>
  <c r="J97" i="5"/>
  <c r="L96" i="5"/>
  <c r="K96" i="5"/>
  <c r="J96" i="5"/>
  <c r="K95" i="5"/>
  <c r="J95" i="5"/>
  <c r="L95" i="5" s="1"/>
  <c r="K94" i="5"/>
  <c r="J94" i="5"/>
  <c r="L94" i="5" s="1"/>
  <c r="K93" i="5"/>
  <c r="L92" i="5"/>
  <c r="K92" i="5"/>
  <c r="J92" i="5"/>
  <c r="L91" i="5"/>
  <c r="K91" i="5"/>
  <c r="J91" i="5"/>
  <c r="K90" i="5"/>
  <c r="J90" i="5"/>
  <c r="L90" i="5" s="1"/>
  <c r="L89" i="5"/>
  <c r="K89" i="5"/>
  <c r="J89" i="5"/>
  <c r="L88" i="5"/>
  <c r="K88" i="5"/>
  <c r="J88" i="5"/>
  <c r="K87" i="5"/>
  <c r="J87" i="5"/>
  <c r="L87" i="5" s="1"/>
  <c r="L86" i="5"/>
  <c r="K86" i="5"/>
  <c r="J86" i="5"/>
  <c r="L85" i="5"/>
  <c r="K85" i="5"/>
  <c r="J85" i="5"/>
  <c r="L84" i="5"/>
  <c r="K84" i="5"/>
  <c r="J84" i="5"/>
  <c r="L83" i="5"/>
  <c r="K83" i="5"/>
  <c r="J83" i="5"/>
  <c r="L82" i="5"/>
  <c r="K82" i="5"/>
  <c r="J82" i="5"/>
  <c r="L81" i="5"/>
  <c r="K81" i="5"/>
  <c r="J81" i="5"/>
  <c r="L80" i="5"/>
  <c r="K80" i="5"/>
  <c r="J80" i="5"/>
  <c r="L79" i="5"/>
  <c r="K79" i="5"/>
  <c r="J79" i="5"/>
  <c r="L78" i="5"/>
  <c r="K78" i="5"/>
  <c r="J78" i="5"/>
  <c r="L77" i="5"/>
  <c r="K77" i="5"/>
  <c r="J77" i="5"/>
  <c r="L76" i="5"/>
  <c r="K76" i="5"/>
  <c r="J76" i="5"/>
  <c r="L75" i="5"/>
  <c r="K75" i="5"/>
  <c r="J75" i="5"/>
  <c r="L74" i="5"/>
  <c r="K74" i="5"/>
  <c r="J74" i="5"/>
  <c r="L73" i="5"/>
  <c r="K73" i="5"/>
  <c r="J73" i="5"/>
  <c r="L72" i="5"/>
  <c r="K72" i="5"/>
  <c r="J72" i="5"/>
  <c r="L71" i="5"/>
  <c r="K71" i="5"/>
  <c r="J71" i="5"/>
  <c r="L70" i="5"/>
  <c r="K70" i="5"/>
  <c r="J70" i="5"/>
  <c r="K69" i="5"/>
  <c r="L68" i="5"/>
  <c r="K68" i="5"/>
  <c r="J68" i="5"/>
  <c r="L67" i="5"/>
  <c r="K67" i="5"/>
  <c r="J67" i="5"/>
  <c r="L66" i="5"/>
  <c r="K66" i="5"/>
  <c r="J66" i="5"/>
  <c r="L65" i="5"/>
  <c r="K65" i="5"/>
  <c r="J65" i="5"/>
  <c r="L64" i="5"/>
  <c r="K64" i="5"/>
  <c r="J64" i="5"/>
  <c r="L63" i="5"/>
  <c r="K63" i="5"/>
  <c r="J63" i="5"/>
  <c r="L62" i="5"/>
  <c r="K62" i="5"/>
  <c r="J62" i="5"/>
  <c r="L61" i="5"/>
  <c r="K61" i="5"/>
  <c r="J61" i="5"/>
  <c r="L60" i="5"/>
  <c r="K60" i="5"/>
  <c r="J60" i="5"/>
  <c r="L59" i="5"/>
  <c r="K59" i="5"/>
  <c r="J59" i="5"/>
  <c r="K58" i="5"/>
  <c r="J58" i="5"/>
  <c r="L58" i="5" s="1"/>
  <c r="L57" i="5"/>
  <c r="K57" i="5"/>
  <c r="J57" i="5"/>
  <c r="K56" i="5"/>
  <c r="J56" i="5"/>
  <c r="L56" i="5" s="1"/>
  <c r="L55" i="5"/>
  <c r="K55" i="5"/>
  <c r="J55" i="5"/>
  <c r="L54" i="5"/>
  <c r="K54" i="5"/>
  <c r="J54" i="5"/>
  <c r="L53" i="5"/>
  <c r="K53" i="5"/>
  <c r="J53" i="5"/>
  <c r="L52" i="5"/>
  <c r="K52" i="5"/>
  <c r="J52" i="5"/>
  <c r="L51" i="5"/>
  <c r="K51" i="5"/>
  <c r="J51" i="5"/>
  <c r="L50" i="5"/>
  <c r="K50" i="5"/>
  <c r="J50" i="5"/>
  <c r="K49" i="5"/>
  <c r="L48" i="5"/>
  <c r="K48" i="5"/>
  <c r="J48" i="5"/>
  <c r="L47" i="5"/>
  <c r="K47" i="5"/>
  <c r="J47" i="5"/>
  <c r="L46" i="5"/>
  <c r="K46" i="5"/>
  <c r="J46" i="5"/>
  <c r="L45" i="5"/>
  <c r="K45" i="5"/>
  <c r="J45" i="5"/>
  <c r="L44" i="5"/>
  <c r="K44" i="5"/>
  <c r="J44" i="5"/>
  <c r="L43" i="5"/>
  <c r="K43" i="5"/>
  <c r="J43" i="5"/>
  <c r="L42" i="5"/>
  <c r="K42" i="5"/>
  <c r="J42" i="5"/>
  <c r="L41" i="5"/>
  <c r="K41" i="5"/>
  <c r="J41" i="5"/>
  <c r="L40" i="5"/>
  <c r="K40" i="5"/>
  <c r="J40" i="5"/>
  <c r="K39" i="5"/>
  <c r="J39" i="5"/>
  <c r="L39" i="5" s="1"/>
  <c r="L38" i="5"/>
  <c r="K38" i="5"/>
  <c r="J38" i="5"/>
  <c r="L37" i="5"/>
  <c r="K37" i="5"/>
  <c r="J37" i="5"/>
  <c r="L36" i="5"/>
  <c r="K36" i="5"/>
  <c r="J36" i="5"/>
  <c r="L35" i="5"/>
  <c r="K35" i="5"/>
  <c r="J35" i="5"/>
  <c r="L34" i="5"/>
  <c r="K34" i="5"/>
  <c r="J34" i="5"/>
  <c r="L33" i="5"/>
  <c r="K33" i="5"/>
  <c r="J33" i="5"/>
  <c r="L32" i="5"/>
  <c r="K32" i="5"/>
  <c r="J32" i="5"/>
  <c r="L31" i="5"/>
  <c r="K31" i="5"/>
  <c r="J31" i="5"/>
  <c r="L30" i="5"/>
  <c r="K30" i="5"/>
  <c r="J30" i="5"/>
  <c r="L29" i="5"/>
  <c r="K29" i="5"/>
  <c r="J29" i="5"/>
  <c r="L28" i="5"/>
  <c r="K28" i="5"/>
  <c r="J28" i="5"/>
  <c r="L27" i="5"/>
  <c r="K27" i="5"/>
  <c r="J27" i="5"/>
  <c r="L26" i="5"/>
  <c r="K26" i="5"/>
  <c r="J26" i="5"/>
  <c r="L25" i="5"/>
  <c r="K25" i="5"/>
  <c r="J25" i="5"/>
  <c r="L24" i="5"/>
  <c r="K24" i="5"/>
  <c r="J24" i="5"/>
  <c r="L23" i="5"/>
  <c r="K23" i="5"/>
  <c r="J23" i="5"/>
  <c r="L22" i="5"/>
  <c r="K22" i="5"/>
  <c r="J22" i="5"/>
  <c r="L21" i="5"/>
  <c r="K21" i="5"/>
  <c r="J21" i="5"/>
  <c r="L20" i="5"/>
  <c r="K20" i="5"/>
  <c r="J20" i="5"/>
  <c r="L19" i="5"/>
  <c r="K19" i="5"/>
  <c r="J19" i="5"/>
  <c r="L18" i="5"/>
  <c r="K18" i="5"/>
  <c r="J18" i="5"/>
  <c r="L17" i="5"/>
  <c r="K17" i="5"/>
  <c r="J17" i="5"/>
  <c r="L16" i="5"/>
  <c r="K16" i="5"/>
  <c r="J16" i="5"/>
  <c r="L15" i="5"/>
  <c r="K15" i="5"/>
  <c r="J15" i="5"/>
  <c r="L14" i="5"/>
  <c r="K14" i="5"/>
  <c r="J14" i="5"/>
  <c r="L13" i="5"/>
  <c r="K13" i="5"/>
  <c r="J13" i="5"/>
  <c r="L12" i="5"/>
  <c r="K12" i="5"/>
  <c r="J12" i="5"/>
  <c r="L11" i="5"/>
  <c r="K11" i="5"/>
  <c r="J11" i="5"/>
  <c r="L10" i="5"/>
  <c r="K10" i="5"/>
  <c r="J10" i="5"/>
  <c r="L9" i="5"/>
  <c r="K9" i="5"/>
  <c r="J9" i="5"/>
  <c r="L8" i="5"/>
  <c r="K8" i="5"/>
  <c r="J8" i="5"/>
  <c r="L7" i="5"/>
  <c r="K7" i="5"/>
  <c r="J7" i="5"/>
  <c r="L6" i="5"/>
  <c r="K6" i="5"/>
  <c r="J6" i="5"/>
  <c r="L5" i="5"/>
  <c r="K5" i="5"/>
  <c r="J5" i="5"/>
  <c r="L4" i="5"/>
  <c r="K4" i="5"/>
  <c r="J4" i="5"/>
  <c r="L3" i="5"/>
  <c r="K3" i="5"/>
  <c r="J3" i="5"/>
  <c r="L2" i="5"/>
  <c r="K2" i="5"/>
  <c r="J2" i="5"/>
  <c r="Q301" i="4"/>
  <c r="P301" i="4"/>
  <c r="O301" i="4"/>
  <c r="K301" i="4"/>
  <c r="N301" i="4" s="1"/>
  <c r="H301" i="4"/>
  <c r="I301" i="4" s="1"/>
  <c r="F301" i="4"/>
  <c r="E301" i="4"/>
  <c r="Q300" i="4"/>
  <c r="P300" i="4"/>
  <c r="O300" i="4"/>
  <c r="K300" i="4"/>
  <c r="N300" i="4" s="1"/>
  <c r="H300" i="4"/>
  <c r="I300" i="4" s="1"/>
  <c r="F300" i="4"/>
  <c r="E300" i="4"/>
  <c r="Q299" i="4"/>
  <c r="P299" i="4"/>
  <c r="O299" i="4"/>
  <c r="N299" i="4"/>
  <c r="K299" i="4"/>
  <c r="H299" i="4"/>
  <c r="I299" i="4" s="1"/>
  <c r="F299" i="4"/>
  <c r="E299" i="4"/>
  <c r="Q298" i="4"/>
  <c r="P298" i="4"/>
  <c r="K298" i="4"/>
  <c r="O298" i="4" s="1"/>
  <c r="I298" i="4"/>
  <c r="H298" i="4"/>
  <c r="F298" i="4"/>
  <c r="E298" i="4"/>
  <c r="Q297" i="4"/>
  <c r="P297" i="4"/>
  <c r="O297" i="4"/>
  <c r="K297" i="4"/>
  <c r="N297" i="4" s="1"/>
  <c r="H297" i="4"/>
  <c r="I297" i="4" s="1"/>
  <c r="F297" i="4"/>
  <c r="E297" i="4"/>
  <c r="Q296" i="4"/>
  <c r="P296" i="4"/>
  <c r="O296" i="4"/>
  <c r="N296" i="4"/>
  <c r="K296" i="4"/>
  <c r="H296" i="4"/>
  <c r="I296" i="4" s="1"/>
  <c r="F296" i="4"/>
  <c r="E296" i="4"/>
  <c r="Q295" i="4"/>
  <c r="P295" i="4"/>
  <c r="O295" i="4"/>
  <c r="N295" i="4"/>
  <c r="K295" i="4"/>
  <c r="H295" i="4"/>
  <c r="I295" i="4" s="1"/>
  <c r="F295" i="4"/>
  <c r="E295" i="4"/>
  <c r="Q294" i="4"/>
  <c r="P294" i="4"/>
  <c r="O294" i="4"/>
  <c r="K294" i="4"/>
  <c r="N294" i="4" s="1"/>
  <c r="H294" i="4"/>
  <c r="I294" i="4" s="1"/>
  <c r="F294" i="4"/>
  <c r="E294" i="4"/>
  <c r="Q293" i="4"/>
  <c r="P293" i="4"/>
  <c r="K293" i="4"/>
  <c r="O293" i="4" s="1"/>
  <c r="H293" i="4"/>
  <c r="I293" i="4" s="1"/>
  <c r="F293" i="4"/>
  <c r="E293" i="4"/>
  <c r="Q292" i="4"/>
  <c r="P292" i="4"/>
  <c r="O292" i="4"/>
  <c r="K292" i="4"/>
  <c r="N292" i="4" s="1"/>
  <c r="H292" i="4"/>
  <c r="I292" i="4" s="1"/>
  <c r="F292" i="4"/>
  <c r="E292" i="4"/>
  <c r="Q291" i="4"/>
  <c r="P291" i="4"/>
  <c r="O291" i="4"/>
  <c r="K291" i="4"/>
  <c r="N291" i="4" s="1"/>
  <c r="I291" i="4"/>
  <c r="H291" i="4"/>
  <c r="F291" i="4"/>
  <c r="E291" i="4"/>
  <c r="Q290" i="4"/>
  <c r="P290" i="4"/>
  <c r="O290" i="4"/>
  <c r="K290" i="4"/>
  <c r="N290" i="4" s="1"/>
  <c r="H290" i="4"/>
  <c r="I290" i="4" s="1"/>
  <c r="F290" i="4"/>
  <c r="E290" i="4"/>
  <c r="Q289" i="4"/>
  <c r="P289" i="4"/>
  <c r="K289" i="4"/>
  <c r="O289" i="4" s="1"/>
  <c r="H289" i="4"/>
  <c r="I289" i="4" s="1"/>
  <c r="F289" i="4"/>
  <c r="E289" i="4"/>
  <c r="Q288" i="4"/>
  <c r="P288" i="4"/>
  <c r="O288" i="4"/>
  <c r="N288" i="4"/>
  <c r="K288" i="4"/>
  <c r="H288" i="4"/>
  <c r="I288" i="4" s="1"/>
  <c r="F288" i="4"/>
  <c r="E288" i="4"/>
  <c r="Q287" i="4"/>
  <c r="P287" i="4"/>
  <c r="O287" i="4"/>
  <c r="N287" i="4"/>
  <c r="K287" i="4"/>
  <c r="H287" i="4"/>
  <c r="I287" i="4" s="1"/>
  <c r="F287" i="4"/>
  <c r="E287" i="4"/>
  <c r="Q286" i="4"/>
  <c r="P286" i="4"/>
  <c r="O286" i="4"/>
  <c r="K286" i="4"/>
  <c r="N286" i="4" s="1"/>
  <c r="H286" i="4"/>
  <c r="I286" i="4" s="1"/>
  <c r="F286" i="4"/>
  <c r="E286" i="4"/>
  <c r="Q285" i="4"/>
  <c r="P285" i="4"/>
  <c r="N285" i="4"/>
  <c r="K285" i="4"/>
  <c r="O285" i="4" s="1"/>
  <c r="H285" i="4"/>
  <c r="I285" i="4" s="1"/>
  <c r="F285" i="4"/>
  <c r="E285" i="4"/>
  <c r="Q284" i="4"/>
  <c r="P284" i="4"/>
  <c r="K284" i="4"/>
  <c r="O284" i="4" s="1"/>
  <c r="H284" i="4"/>
  <c r="I284" i="4" s="1"/>
  <c r="F284" i="4"/>
  <c r="E284" i="4"/>
  <c r="Q283" i="4"/>
  <c r="P283" i="4"/>
  <c r="K283" i="4"/>
  <c r="O283" i="4" s="1"/>
  <c r="I283" i="4"/>
  <c r="H283" i="4"/>
  <c r="F283" i="4"/>
  <c r="E283" i="4"/>
  <c r="Q282" i="4"/>
  <c r="P282" i="4"/>
  <c r="K282" i="4"/>
  <c r="O282" i="4" s="1"/>
  <c r="H282" i="4"/>
  <c r="I282" i="4" s="1"/>
  <c r="F282" i="4"/>
  <c r="E282" i="4"/>
  <c r="Q281" i="4"/>
  <c r="P281" i="4"/>
  <c r="K281" i="4"/>
  <c r="O281" i="4" s="1"/>
  <c r="I281" i="4"/>
  <c r="H281" i="4"/>
  <c r="F281" i="4"/>
  <c r="E281" i="4"/>
  <c r="Q280" i="4"/>
  <c r="P280" i="4"/>
  <c r="O280" i="4"/>
  <c r="N280" i="4"/>
  <c r="K280" i="4"/>
  <c r="H280" i="4"/>
  <c r="I280" i="4" s="1"/>
  <c r="F280" i="4"/>
  <c r="E280" i="4"/>
  <c r="Q279" i="4"/>
  <c r="P279" i="4"/>
  <c r="O279" i="4"/>
  <c r="N279" i="4"/>
  <c r="K279" i="4"/>
  <c r="H279" i="4"/>
  <c r="I279" i="4" s="1"/>
  <c r="F279" i="4"/>
  <c r="E279" i="4"/>
  <c r="Q278" i="4"/>
  <c r="P278" i="4"/>
  <c r="O278" i="4"/>
  <c r="N278" i="4"/>
  <c r="K278" i="4"/>
  <c r="H278" i="4"/>
  <c r="I278" i="4" s="1"/>
  <c r="F278" i="4"/>
  <c r="E278" i="4"/>
  <c r="Q277" i="4"/>
  <c r="P277" i="4"/>
  <c r="K277" i="4"/>
  <c r="O277" i="4" s="1"/>
  <c r="H277" i="4"/>
  <c r="I277" i="4" s="1"/>
  <c r="F277" i="4"/>
  <c r="E277" i="4"/>
  <c r="Q276" i="4"/>
  <c r="P276" i="4"/>
  <c r="K276" i="4"/>
  <c r="O276" i="4" s="1"/>
  <c r="H276" i="4"/>
  <c r="I276" i="4" s="1"/>
  <c r="F276" i="4"/>
  <c r="E276" i="4"/>
  <c r="Q275" i="4"/>
  <c r="P275" i="4"/>
  <c r="O275" i="4"/>
  <c r="K275" i="4"/>
  <c r="N275" i="4" s="1"/>
  <c r="I275" i="4"/>
  <c r="H275" i="4"/>
  <c r="F275" i="4"/>
  <c r="E275" i="4"/>
  <c r="Q274" i="4"/>
  <c r="P274" i="4"/>
  <c r="K274" i="4"/>
  <c r="O274" i="4" s="1"/>
  <c r="I274" i="4"/>
  <c r="H274" i="4"/>
  <c r="F274" i="4"/>
  <c r="E274" i="4"/>
  <c r="Q273" i="4"/>
  <c r="P273" i="4"/>
  <c r="K273" i="4"/>
  <c r="O273" i="4" s="1"/>
  <c r="H273" i="4"/>
  <c r="I273" i="4" s="1"/>
  <c r="F273" i="4"/>
  <c r="E273" i="4"/>
  <c r="Q272" i="4"/>
  <c r="P272" i="4"/>
  <c r="N272" i="4"/>
  <c r="K272" i="4"/>
  <c r="O272" i="4" s="1"/>
  <c r="H272" i="4"/>
  <c r="I272" i="4" s="1"/>
  <c r="F272" i="4"/>
  <c r="E272" i="4"/>
  <c r="Q271" i="4"/>
  <c r="P271" i="4"/>
  <c r="O271" i="4"/>
  <c r="N271" i="4"/>
  <c r="K271" i="4"/>
  <c r="H271" i="4"/>
  <c r="I271" i="4" s="1"/>
  <c r="F271" i="4"/>
  <c r="E271" i="4"/>
  <c r="Q270" i="4"/>
  <c r="P270" i="4"/>
  <c r="O270" i="4"/>
  <c r="K270" i="4"/>
  <c r="N270" i="4" s="1"/>
  <c r="H270" i="4"/>
  <c r="I270" i="4" s="1"/>
  <c r="F270" i="4"/>
  <c r="E270" i="4"/>
  <c r="Q269" i="4"/>
  <c r="P269" i="4"/>
  <c r="K269" i="4"/>
  <c r="O269" i="4" s="1"/>
  <c r="H269" i="4"/>
  <c r="I269" i="4" s="1"/>
  <c r="F269" i="4"/>
  <c r="E269" i="4"/>
  <c r="Q268" i="4"/>
  <c r="P268" i="4"/>
  <c r="O268" i="4"/>
  <c r="K268" i="4"/>
  <c r="N268" i="4" s="1"/>
  <c r="H268" i="4"/>
  <c r="I268" i="4" s="1"/>
  <c r="F268" i="4"/>
  <c r="E268" i="4"/>
  <c r="Q267" i="4"/>
  <c r="P267" i="4"/>
  <c r="K267" i="4"/>
  <c r="O267" i="4" s="1"/>
  <c r="I267" i="4"/>
  <c r="H267" i="4"/>
  <c r="F267" i="4"/>
  <c r="E267" i="4"/>
  <c r="Q266" i="4"/>
  <c r="P266" i="4"/>
  <c r="K266" i="4"/>
  <c r="O266" i="4" s="1"/>
  <c r="H266" i="4"/>
  <c r="I266" i="4" s="1"/>
  <c r="F266" i="4"/>
  <c r="E266" i="4"/>
  <c r="Q265" i="4"/>
  <c r="P265" i="4"/>
  <c r="K265" i="4"/>
  <c r="O265" i="4" s="1"/>
  <c r="H265" i="4"/>
  <c r="I265" i="4" s="1"/>
  <c r="F265" i="4"/>
  <c r="E265" i="4"/>
  <c r="Q264" i="4"/>
  <c r="P264" i="4"/>
  <c r="O264" i="4"/>
  <c r="N264" i="4"/>
  <c r="K264" i="4"/>
  <c r="H264" i="4"/>
  <c r="I264" i="4" s="1"/>
  <c r="F264" i="4"/>
  <c r="E264" i="4"/>
  <c r="Q263" i="4"/>
  <c r="P263" i="4"/>
  <c r="O263" i="4"/>
  <c r="N263" i="4"/>
  <c r="K263" i="4"/>
  <c r="H263" i="4"/>
  <c r="I263" i="4" s="1"/>
  <c r="F263" i="4"/>
  <c r="E263" i="4"/>
  <c r="Q262" i="4"/>
  <c r="P262" i="4"/>
  <c r="O262" i="4"/>
  <c r="N262" i="4"/>
  <c r="K262" i="4"/>
  <c r="H262" i="4"/>
  <c r="I262" i="4" s="1"/>
  <c r="F262" i="4"/>
  <c r="E262" i="4"/>
  <c r="Q261" i="4"/>
  <c r="P261" i="4"/>
  <c r="N261" i="4"/>
  <c r="K261" i="4"/>
  <c r="O261" i="4" s="1"/>
  <c r="H261" i="4"/>
  <c r="I261" i="4" s="1"/>
  <c r="F261" i="4"/>
  <c r="E261" i="4"/>
  <c r="Q260" i="4"/>
  <c r="P260" i="4"/>
  <c r="K260" i="4"/>
  <c r="O260" i="4" s="1"/>
  <c r="H260" i="4"/>
  <c r="I260" i="4" s="1"/>
  <c r="F260" i="4"/>
  <c r="E260" i="4"/>
  <c r="Q259" i="4"/>
  <c r="P259" i="4"/>
  <c r="K259" i="4"/>
  <c r="O259" i="4" s="1"/>
  <c r="I259" i="4"/>
  <c r="H259" i="4"/>
  <c r="F259" i="4"/>
  <c r="E259" i="4"/>
  <c r="Q258" i="4"/>
  <c r="P258" i="4"/>
  <c r="K258" i="4"/>
  <c r="O258" i="4" s="1"/>
  <c r="I258" i="4"/>
  <c r="H258" i="4"/>
  <c r="F258" i="4"/>
  <c r="E258" i="4"/>
  <c r="Q257" i="4"/>
  <c r="P257" i="4"/>
  <c r="N257" i="4"/>
  <c r="K257" i="4"/>
  <c r="O257" i="4" s="1"/>
  <c r="I257" i="4"/>
  <c r="H257" i="4"/>
  <c r="F257" i="4"/>
  <c r="E257" i="4"/>
  <c r="Q256" i="4"/>
  <c r="P256" i="4"/>
  <c r="O256" i="4"/>
  <c r="N256" i="4"/>
  <c r="K256" i="4"/>
  <c r="H256" i="4"/>
  <c r="I256" i="4" s="1"/>
  <c r="F256" i="4"/>
  <c r="E256" i="4"/>
  <c r="Q255" i="4"/>
  <c r="P255" i="4"/>
  <c r="N255" i="4"/>
  <c r="K255" i="4"/>
  <c r="O255" i="4" s="1"/>
  <c r="H255" i="4"/>
  <c r="I255" i="4" s="1"/>
  <c r="D44" i="3" s="1"/>
  <c r="F255" i="4"/>
  <c r="E255" i="4"/>
  <c r="Q254" i="4"/>
  <c r="P254" i="4"/>
  <c r="O254" i="4"/>
  <c r="N254" i="4"/>
  <c r="K254" i="4"/>
  <c r="H254" i="4"/>
  <c r="I254" i="4" s="1"/>
  <c r="F254" i="4"/>
  <c r="E254" i="4"/>
  <c r="Q253" i="4"/>
  <c r="P253" i="4"/>
  <c r="K253" i="4"/>
  <c r="O253" i="4" s="1"/>
  <c r="I253" i="4"/>
  <c r="H253" i="4"/>
  <c r="F253" i="4"/>
  <c r="E253" i="4"/>
  <c r="Q252" i="4"/>
  <c r="P252" i="4"/>
  <c r="K252" i="4"/>
  <c r="O252" i="4" s="1"/>
  <c r="H252" i="4"/>
  <c r="I252" i="4" s="1"/>
  <c r="F252" i="4"/>
  <c r="E252" i="4"/>
  <c r="Q251" i="4"/>
  <c r="P251" i="4"/>
  <c r="O251" i="4"/>
  <c r="K251" i="4"/>
  <c r="N251" i="4" s="1"/>
  <c r="I251" i="4"/>
  <c r="H251" i="4"/>
  <c r="F251" i="4"/>
  <c r="E251" i="4"/>
  <c r="Q250" i="4"/>
  <c r="P250" i="4"/>
  <c r="N250" i="4"/>
  <c r="K250" i="4"/>
  <c r="O250" i="4" s="1"/>
  <c r="I250" i="4"/>
  <c r="H250" i="4"/>
  <c r="F250" i="4"/>
  <c r="E250" i="4"/>
  <c r="Q249" i="4"/>
  <c r="P249" i="4"/>
  <c r="K249" i="4"/>
  <c r="O249" i="4" s="1"/>
  <c r="H249" i="4"/>
  <c r="I249" i="4" s="1"/>
  <c r="F249" i="4"/>
  <c r="E249" i="4"/>
  <c r="Q248" i="4"/>
  <c r="P248" i="4"/>
  <c r="N248" i="4"/>
  <c r="K248" i="4"/>
  <c r="O248" i="4" s="1"/>
  <c r="H248" i="4"/>
  <c r="I248" i="4" s="1"/>
  <c r="F248" i="4"/>
  <c r="E248" i="4"/>
  <c r="Q247" i="4"/>
  <c r="P247" i="4"/>
  <c r="O247" i="4"/>
  <c r="N247" i="4"/>
  <c r="K247" i="4"/>
  <c r="H247" i="4"/>
  <c r="I247" i="4" s="1"/>
  <c r="F247" i="4"/>
  <c r="E247" i="4"/>
  <c r="Q246" i="4"/>
  <c r="P246" i="4"/>
  <c r="O246" i="4"/>
  <c r="K246" i="4"/>
  <c r="N246" i="4" s="1"/>
  <c r="I246" i="4"/>
  <c r="H246" i="4"/>
  <c r="F246" i="4"/>
  <c r="E246" i="4"/>
  <c r="Q245" i="4"/>
  <c r="P245" i="4"/>
  <c r="N245" i="4"/>
  <c r="K245" i="4"/>
  <c r="O245" i="4" s="1"/>
  <c r="H245" i="4"/>
  <c r="I245" i="4" s="1"/>
  <c r="F245" i="4"/>
  <c r="E245" i="4"/>
  <c r="Q244" i="4"/>
  <c r="P244" i="4"/>
  <c r="O244" i="4"/>
  <c r="K244" i="4"/>
  <c r="N244" i="4" s="1"/>
  <c r="H244" i="4"/>
  <c r="I244" i="4" s="1"/>
  <c r="F244" i="4"/>
  <c r="E244" i="4"/>
  <c r="Q243" i="4"/>
  <c r="P243" i="4"/>
  <c r="K243" i="4"/>
  <c r="O243" i="4" s="1"/>
  <c r="I243" i="4"/>
  <c r="H243" i="4"/>
  <c r="F243" i="4"/>
  <c r="E243" i="4"/>
  <c r="Q242" i="4"/>
  <c r="P242" i="4"/>
  <c r="K242" i="4"/>
  <c r="O242" i="4" s="1"/>
  <c r="H242" i="4"/>
  <c r="I242" i="4" s="1"/>
  <c r="F242" i="4"/>
  <c r="E242" i="4"/>
  <c r="Q241" i="4"/>
  <c r="P241" i="4"/>
  <c r="K241" i="4"/>
  <c r="O241" i="4" s="1"/>
  <c r="I241" i="4"/>
  <c r="H241" i="4"/>
  <c r="F241" i="4"/>
  <c r="E241" i="4"/>
  <c r="Q240" i="4"/>
  <c r="P240" i="4"/>
  <c r="O240" i="4"/>
  <c r="N240" i="4"/>
  <c r="K240" i="4"/>
  <c r="H240" i="4"/>
  <c r="I240" i="4" s="1"/>
  <c r="F240" i="4"/>
  <c r="E240" i="4"/>
  <c r="Q239" i="4"/>
  <c r="P239" i="4"/>
  <c r="O239" i="4"/>
  <c r="N239" i="4"/>
  <c r="K239" i="4"/>
  <c r="H239" i="4"/>
  <c r="I239" i="4" s="1"/>
  <c r="F239" i="4"/>
  <c r="E239" i="4"/>
  <c r="Q238" i="4"/>
  <c r="P238" i="4"/>
  <c r="O238" i="4"/>
  <c r="N238" i="4"/>
  <c r="K238" i="4"/>
  <c r="H238" i="4"/>
  <c r="I238" i="4" s="1"/>
  <c r="F238" i="4"/>
  <c r="E238" i="4"/>
  <c r="Q237" i="4"/>
  <c r="P237" i="4"/>
  <c r="N237" i="4"/>
  <c r="K237" i="4"/>
  <c r="O237" i="4" s="1"/>
  <c r="H237" i="4"/>
  <c r="I237" i="4" s="1"/>
  <c r="F237" i="4"/>
  <c r="E237" i="4"/>
  <c r="Q236" i="4"/>
  <c r="P236" i="4"/>
  <c r="K236" i="4"/>
  <c r="O236" i="4" s="1"/>
  <c r="H236" i="4"/>
  <c r="I236" i="4" s="1"/>
  <c r="F236" i="4"/>
  <c r="E236" i="4"/>
  <c r="Q235" i="4"/>
  <c r="P235" i="4"/>
  <c r="K235" i="4"/>
  <c r="O235" i="4" s="1"/>
  <c r="I235" i="4"/>
  <c r="H235" i="4"/>
  <c r="F235" i="4"/>
  <c r="E235" i="4"/>
  <c r="Q234" i="4"/>
  <c r="P234" i="4"/>
  <c r="K234" i="4"/>
  <c r="O234" i="4" s="1"/>
  <c r="I234" i="4"/>
  <c r="H234" i="4"/>
  <c r="F234" i="4"/>
  <c r="E234" i="4"/>
  <c r="Q233" i="4"/>
  <c r="P233" i="4"/>
  <c r="N233" i="4"/>
  <c r="K233" i="4"/>
  <c r="O233" i="4" s="1"/>
  <c r="I233" i="4"/>
  <c r="H233" i="4"/>
  <c r="F233" i="4"/>
  <c r="E233" i="4"/>
  <c r="Q232" i="4"/>
  <c r="P232" i="4"/>
  <c r="O232" i="4"/>
  <c r="N232" i="4"/>
  <c r="K232" i="4"/>
  <c r="H232" i="4"/>
  <c r="I232" i="4" s="1"/>
  <c r="F232" i="4"/>
  <c r="E232" i="4"/>
  <c r="Q231" i="4"/>
  <c r="P231" i="4"/>
  <c r="O231" i="4"/>
  <c r="N231" i="4"/>
  <c r="K231" i="4"/>
  <c r="H231" i="4"/>
  <c r="I231" i="4" s="1"/>
  <c r="F231" i="4"/>
  <c r="E231" i="4"/>
  <c r="Q230" i="4"/>
  <c r="P230" i="4"/>
  <c r="O230" i="4"/>
  <c r="N230" i="4"/>
  <c r="K230" i="4"/>
  <c r="H230" i="4"/>
  <c r="I230" i="4" s="1"/>
  <c r="F230" i="4"/>
  <c r="E230" i="4"/>
  <c r="Q229" i="4"/>
  <c r="P229" i="4"/>
  <c r="K229" i="4"/>
  <c r="O229" i="4" s="1"/>
  <c r="I229" i="4"/>
  <c r="H229" i="4"/>
  <c r="F229" i="4"/>
  <c r="E229" i="4"/>
  <c r="Q228" i="4"/>
  <c r="P228" i="4"/>
  <c r="K228" i="4"/>
  <c r="O228" i="4" s="1"/>
  <c r="H228" i="4"/>
  <c r="I228" i="4" s="1"/>
  <c r="F228" i="4"/>
  <c r="E228" i="4"/>
  <c r="Q227" i="4"/>
  <c r="P227" i="4"/>
  <c r="O227" i="4"/>
  <c r="K227" i="4"/>
  <c r="N227" i="4" s="1"/>
  <c r="I227" i="4"/>
  <c r="H227" i="4"/>
  <c r="F227" i="4"/>
  <c r="E227" i="4"/>
  <c r="Q226" i="4"/>
  <c r="P226" i="4"/>
  <c r="N226" i="4"/>
  <c r="K226" i="4"/>
  <c r="O226" i="4" s="1"/>
  <c r="I226" i="4"/>
  <c r="H226" i="4"/>
  <c r="F226" i="4"/>
  <c r="E226" i="4"/>
  <c r="Q225" i="4"/>
  <c r="P225" i="4"/>
  <c r="K225" i="4"/>
  <c r="O225" i="4" s="1"/>
  <c r="H225" i="4"/>
  <c r="I225" i="4" s="1"/>
  <c r="F225" i="4"/>
  <c r="E225" i="4"/>
  <c r="Q224" i="4"/>
  <c r="P224" i="4"/>
  <c r="O224" i="4"/>
  <c r="N224" i="4"/>
  <c r="K224" i="4"/>
  <c r="H224" i="4"/>
  <c r="I224" i="4" s="1"/>
  <c r="F224" i="4"/>
  <c r="E224" i="4"/>
  <c r="Q223" i="4"/>
  <c r="P223" i="4"/>
  <c r="O223" i="4"/>
  <c r="N223" i="4"/>
  <c r="K223" i="4"/>
  <c r="H223" i="4"/>
  <c r="I223" i="4" s="1"/>
  <c r="F223" i="4"/>
  <c r="E223" i="4"/>
  <c r="Q222" i="4"/>
  <c r="P222" i="4"/>
  <c r="O222" i="4"/>
  <c r="K222" i="4"/>
  <c r="N222" i="4" s="1"/>
  <c r="I222" i="4"/>
  <c r="H222" i="4"/>
  <c r="F222" i="4"/>
  <c r="E222" i="4"/>
  <c r="Q221" i="4"/>
  <c r="P221" i="4"/>
  <c r="N221" i="4"/>
  <c r="K221" i="4"/>
  <c r="O221" i="4" s="1"/>
  <c r="H221" i="4"/>
  <c r="I221" i="4" s="1"/>
  <c r="F221" i="4"/>
  <c r="E221" i="4"/>
  <c r="Q220" i="4"/>
  <c r="P220" i="4"/>
  <c r="O220" i="4"/>
  <c r="K220" i="4"/>
  <c r="N220" i="4" s="1"/>
  <c r="H220" i="4"/>
  <c r="I220" i="4" s="1"/>
  <c r="F220" i="4"/>
  <c r="E220" i="4"/>
  <c r="Q219" i="4"/>
  <c r="P219" i="4"/>
  <c r="K219" i="4"/>
  <c r="O219" i="4" s="1"/>
  <c r="I219" i="4"/>
  <c r="H219" i="4"/>
  <c r="F219" i="4"/>
  <c r="E219" i="4"/>
  <c r="Q218" i="4"/>
  <c r="P218" i="4"/>
  <c r="K218" i="4"/>
  <c r="O218" i="4" s="1"/>
  <c r="H218" i="4"/>
  <c r="I218" i="4" s="1"/>
  <c r="F218" i="4"/>
  <c r="E218" i="4"/>
  <c r="Q217" i="4"/>
  <c r="P217" i="4"/>
  <c r="K217" i="4"/>
  <c r="O217" i="4" s="1"/>
  <c r="I217" i="4"/>
  <c r="H217" i="4"/>
  <c r="F217" i="4"/>
  <c r="E217" i="4"/>
  <c r="Q216" i="4"/>
  <c r="P216" i="4"/>
  <c r="O216" i="4"/>
  <c r="N216" i="4"/>
  <c r="K216" i="4"/>
  <c r="H216" i="4"/>
  <c r="I216" i="4" s="1"/>
  <c r="F216" i="4"/>
  <c r="E216" i="4"/>
  <c r="Q215" i="4"/>
  <c r="P215" i="4"/>
  <c r="O215" i="4"/>
  <c r="N215" i="4"/>
  <c r="K215" i="4"/>
  <c r="H215" i="4"/>
  <c r="I215" i="4" s="1"/>
  <c r="F215" i="4"/>
  <c r="E215" i="4"/>
  <c r="Q214" i="4"/>
  <c r="P214" i="4"/>
  <c r="O214" i="4"/>
  <c r="N214" i="4"/>
  <c r="K214" i="4"/>
  <c r="H214" i="4"/>
  <c r="I214" i="4" s="1"/>
  <c r="F214" i="4"/>
  <c r="E214" i="4"/>
  <c r="Q213" i="4"/>
  <c r="P213" i="4"/>
  <c r="N213" i="4"/>
  <c r="K213" i="4"/>
  <c r="O213" i="4" s="1"/>
  <c r="H213" i="4"/>
  <c r="I213" i="4" s="1"/>
  <c r="F213" i="4"/>
  <c r="E213" i="4"/>
  <c r="Q212" i="4"/>
  <c r="P212" i="4"/>
  <c r="K212" i="4"/>
  <c r="O212" i="4" s="1"/>
  <c r="H212" i="4"/>
  <c r="I212" i="4" s="1"/>
  <c r="F212" i="4"/>
  <c r="E212" i="4"/>
  <c r="Q211" i="4"/>
  <c r="P211" i="4"/>
  <c r="K211" i="4"/>
  <c r="O211" i="4" s="1"/>
  <c r="I211" i="4"/>
  <c r="H211" i="4"/>
  <c r="F211" i="4"/>
  <c r="E211" i="4"/>
  <c r="Q210" i="4"/>
  <c r="P210" i="4"/>
  <c r="K210" i="4"/>
  <c r="O210" i="4" s="1"/>
  <c r="I210" i="4"/>
  <c r="H210" i="4"/>
  <c r="F210" i="4"/>
  <c r="E210" i="4"/>
  <c r="Q209" i="4"/>
  <c r="P209" i="4"/>
  <c r="N209" i="4"/>
  <c r="K209" i="4"/>
  <c r="O209" i="4" s="1"/>
  <c r="I209" i="4"/>
  <c r="H209" i="4"/>
  <c r="F209" i="4"/>
  <c r="E209" i="4"/>
  <c r="Q208" i="4"/>
  <c r="P208" i="4"/>
  <c r="O208" i="4"/>
  <c r="N208" i="4"/>
  <c r="K208" i="4"/>
  <c r="H208" i="4"/>
  <c r="I208" i="4" s="1"/>
  <c r="F208" i="4"/>
  <c r="E208" i="4"/>
  <c r="Q207" i="4"/>
  <c r="P207" i="4"/>
  <c r="O207" i="4"/>
  <c r="N207" i="4"/>
  <c r="K207" i="4"/>
  <c r="H207" i="4"/>
  <c r="I207" i="4" s="1"/>
  <c r="F207" i="4"/>
  <c r="E207" i="4"/>
  <c r="Q206" i="4"/>
  <c r="P206" i="4"/>
  <c r="O206" i="4"/>
  <c r="N206" i="4"/>
  <c r="K206" i="4"/>
  <c r="H206" i="4"/>
  <c r="I206" i="4" s="1"/>
  <c r="F206" i="4"/>
  <c r="E206" i="4"/>
  <c r="Q205" i="4"/>
  <c r="P205" i="4"/>
  <c r="N205" i="4"/>
  <c r="K205" i="4"/>
  <c r="O205" i="4" s="1"/>
  <c r="I205" i="4"/>
  <c r="H205" i="4"/>
  <c r="F205" i="4"/>
  <c r="E205" i="4"/>
  <c r="Q204" i="4"/>
  <c r="P204" i="4"/>
  <c r="K204" i="4"/>
  <c r="O204" i="4" s="1"/>
  <c r="H204" i="4"/>
  <c r="I204" i="4" s="1"/>
  <c r="F204" i="4"/>
  <c r="E204" i="4"/>
  <c r="Q203" i="4"/>
  <c r="P203" i="4"/>
  <c r="O203" i="4"/>
  <c r="K203" i="4"/>
  <c r="N203" i="4" s="1"/>
  <c r="I203" i="4"/>
  <c r="H203" i="4"/>
  <c r="F203" i="4"/>
  <c r="E203" i="4"/>
  <c r="Q202" i="4"/>
  <c r="P202" i="4"/>
  <c r="N202" i="4"/>
  <c r="K202" i="4"/>
  <c r="O202" i="4" s="1"/>
  <c r="I202" i="4"/>
  <c r="H202" i="4"/>
  <c r="F202" i="4"/>
  <c r="E202" i="4"/>
  <c r="Q201" i="4"/>
  <c r="P201" i="4"/>
  <c r="K201" i="4"/>
  <c r="O201" i="4" s="1"/>
  <c r="I201" i="4"/>
  <c r="H201" i="4"/>
  <c r="F201" i="4"/>
  <c r="E201" i="4"/>
  <c r="Q200" i="4"/>
  <c r="P200" i="4"/>
  <c r="K200" i="4"/>
  <c r="O200" i="4" s="1"/>
  <c r="H200" i="4"/>
  <c r="I200" i="4" s="1"/>
  <c r="F200" i="4"/>
  <c r="E200" i="4"/>
  <c r="Q199" i="4"/>
  <c r="P199" i="4"/>
  <c r="O199" i="4"/>
  <c r="N199" i="4"/>
  <c r="K199" i="4"/>
  <c r="H199" i="4"/>
  <c r="I199" i="4" s="1"/>
  <c r="F199" i="4"/>
  <c r="E199" i="4"/>
  <c r="Q198" i="4"/>
  <c r="P198" i="4"/>
  <c r="O198" i="4"/>
  <c r="N198" i="4"/>
  <c r="K198" i="4"/>
  <c r="I198" i="4"/>
  <c r="H198" i="4"/>
  <c r="F198" i="4"/>
  <c r="E198" i="4"/>
  <c r="Q197" i="4"/>
  <c r="P197" i="4"/>
  <c r="N197" i="4"/>
  <c r="K197" i="4"/>
  <c r="O197" i="4" s="1"/>
  <c r="H197" i="4"/>
  <c r="I197" i="4" s="1"/>
  <c r="F197" i="4"/>
  <c r="E197" i="4"/>
  <c r="Q196" i="4"/>
  <c r="P196" i="4"/>
  <c r="O196" i="4"/>
  <c r="K196" i="4"/>
  <c r="N196" i="4" s="1"/>
  <c r="H196" i="4"/>
  <c r="I196" i="4" s="1"/>
  <c r="F196" i="4"/>
  <c r="E196" i="4"/>
  <c r="Q195" i="4"/>
  <c r="P195" i="4"/>
  <c r="K195" i="4"/>
  <c r="O195" i="4" s="1"/>
  <c r="I195" i="4"/>
  <c r="H195" i="4"/>
  <c r="F195" i="4"/>
  <c r="E195" i="4"/>
  <c r="Q194" i="4"/>
  <c r="P194" i="4"/>
  <c r="K194" i="4"/>
  <c r="O194" i="4" s="1"/>
  <c r="B16" i="3" s="1"/>
  <c r="I194" i="4"/>
  <c r="H194" i="4"/>
  <c r="F194" i="4"/>
  <c r="E194" i="4"/>
  <c r="Q193" i="4"/>
  <c r="P193" i="4"/>
  <c r="K193" i="4"/>
  <c r="O193" i="4" s="1"/>
  <c r="I193" i="4"/>
  <c r="H193" i="4"/>
  <c r="F193" i="4"/>
  <c r="E193" i="4"/>
  <c r="Q192" i="4"/>
  <c r="P192" i="4"/>
  <c r="O192" i="4"/>
  <c r="N192" i="4"/>
  <c r="K192" i="4"/>
  <c r="H192" i="4"/>
  <c r="I192" i="4" s="1"/>
  <c r="F192" i="4"/>
  <c r="E192" i="4"/>
  <c r="Q191" i="4"/>
  <c r="P191" i="4"/>
  <c r="O191" i="4"/>
  <c r="N191" i="4"/>
  <c r="K191" i="4"/>
  <c r="H191" i="4"/>
  <c r="I191" i="4" s="1"/>
  <c r="F191" i="4"/>
  <c r="E191" i="4"/>
  <c r="Q190" i="4"/>
  <c r="P190" i="4"/>
  <c r="O190" i="4"/>
  <c r="N190" i="4"/>
  <c r="K190" i="4"/>
  <c r="H190" i="4"/>
  <c r="I190" i="4" s="1"/>
  <c r="F190" i="4"/>
  <c r="E190" i="4"/>
  <c r="Q189" i="4"/>
  <c r="P189" i="4"/>
  <c r="N189" i="4"/>
  <c r="K189" i="4"/>
  <c r="O189" i="4" s="1"/>
  <c r="H189" i="4"/>
  <c r="I189" i="4" s="1"/>
  <c r="F189" i="4"/>
  <c r="E189" i="4"/>
  <c r="Q188" i="4"/>
  <c r="P188" i="4"/>
  <c r="K188" i="4"/>
  <c r="O188" i="4" s="1"/>
  <c r="H188" i="4"/>
  <c r="I188" i="4" s="1"/>
  <c r="F188" i="4"/>
  <c r="E188" i="4"/>
  <c r="Q187" i="4"/>
  <c r="P187" i="4"/>
  <c r="K187" i="4"/>
  <c r="O187" i="4" s="1"/>
  <c r="I187" i="4"/>
  <c r="H187" i="4"/>
  <c r="F187" i="4"/>
  <c r="E187" i="4"/>
  <c r="Q186" i="4"/>
  <c r="P186" i="4"/>
  <c r="N186" i="4"/>
  <c r="K186" i="4"/>
  <c r="O186" i="4" s="1"/>
  <c r="I186" i="4"/>
  <c r="H186" i="4"/>
  <c r="F186" i="4"/>
  <c r="E186" i="4"/>
  <c r="Q185" i="4"/>
  <c r="P185" i="4"/>
  <c r="N185" i="4"/>
  <c r="K185" i="4"/>
  <c r="O185" i="4" s="1"/>
  <c r="I185" i="4"/>
  <c r="H185" i="4"/>
  <c r="F185" i="4"/>
  <c r="E185" i="4"/>
  <c r="Q184" i="4"/>
  <c r="P184" i="4"/>
  <c r="O184" i="4"/>
  <c r="N184" i="4"/>
  <c r="K184" i="4"/>
  <c r="H184" i="4"/>
  <c r="I184" i="4" s="1"/>
  <c r="F184" i="4"/>
  <c r="E184" i="4"/>
  <c r="Q183" i="4"/>
  <c r="P183" i="4"/>
  <c r="K183" i="4"/>
  <c r="O183" i="4" s="1"/>
  <c r="H183" i="4"/>
  <c r="I183" i="4" s="1"/>
  <c r="F183" i="4"/>
  <c r="E183" i="4"/>
  <c r="Q182" i="4"/>
  <c r="P182" i="4"/>
  <c r="O182" i="4"/>
  <c r="N182" i="4"/>
  <c r="K182" i="4"/>
  <c r="I182" i="4"/>
  <c r="H182" i="4"/>
  <c r="F182" i="4"/>
  <c r="E182" i="4"/>
  <c r="Q181" i="4"/>
  <c r="P181" i="4"/>
  <c r="N181" i="4"/>
  <c r="K181" i="4"/>
  <c r="O181" i="4" s="1"/>
  <c r="I181" i="4"/>
  <c r="H181" i="4"/>
  <c r="F181" i="4"/>
  <c r="E181" i="4"/>
  <c r="Q180" i="4"/>
  <c r="P180" i="4"/>
  <c r="K180" i="4"/>
  <c r="O180" i="4" s="1"/>
  <c r="H180" i="4"/>
  <c r="I180" i="4" s="1"/>
  <c r="F180" i="4"/>
  <c r="E180" i="4"/>
  <c r="Q179" i="4"/>
  <c r="P179" i="4"/>
  <c r="O179" i="4"/>
  <c r="K179" i="4"/>
  <c r="N179" i="4" s="1"/>
  <c r="H179" i="4"/>
  <c r="I179" i="4" s="1"/>
  <c r="F179" i="4"/>
  <c r="E179" i="4"/>
  <c r="Q178" i="4"/>
  <c r="P178" i="4"/>
  <c r="N178" i="4"/>
  <c r="K178" i="4"/>
  <c r="O178" i="4" s="1"/>
  <c r="I178" i="4"/>
  <c r="H178" i="4"/>
  <c r="F178" i="4"/>
  <c r="E178" i="4"/>
  <c r="Q177" i="4"/>
  <c r="P177" i="4"/>
  <c r="K177" i="4"/>
  <c r="O177" i="4" s="1"/>
  <c r="I177" i="4"/>
  <c r="H177" i="4"/>
  <c r="F177" i="4"/>
  <c r="E177" i="4"/>
  <c r="Q176" i="4"/>
  <c r="P176" i="4"/>
  <c r="K176" i="4"/>
  <c r="O176" i="4" s="1"/>
  <c r="H176" i="4"/>
  <c r="I176" i="4" s="1"/>
  <c r="F176" i="4"/>
  <c r="E176" i="4"/>
  <c r="Q175" i="4"/>
  <c r="P175" i="4"/>
  <c r="O175" i="4"/>
  <c r="N175" i="4"/>
  <c r="K175" i="4"/>
  <c r="H175" i="4"/>
  <c r="I175" i="4" s="1"/>
  <c r="F175" i="4"/>
  <c r="E175" i="4"/>
  <c r="Q174" i="4"/>
  <c r="P174" i="4"/>
  <c r="O174" i="4"/>
  <c r="N174" i="4"/>
  <c r="K174" i="4"/>
  <c r="I174" i="4"/>
  <c r="H174" i="4"/>
  <c r="F174" i="4"/>
  <c r="E174" i="4"/>
  <c r="Q173" i="4"/>
  <c r="P173" i="4"/>
  <c r="N173" i="4"/>
  <c r="K173" i="4"/>
  <c r="O173" i="4" s="1"/>
  <c r="H173" i="4"/>
  <c r="I173" i="4" s="1"/>
  <c r="F173" i="4"/>
  <c r="E173" i="4"/>
  <c r="Q172" i="4"/>
  <c r="P172" i="4"/>
  <c r="O172" i="4"/>
  <c r="K172" i="4"/>
  <c r="N172" i="4" s="1"/>
  <c r="H172" i="4"/>
  <c r="I172" i="4" s="1"/>
  <c r="F172" i="4"/>
  <c r="E172" i="4"/>
  <c r="Q171" i="4"/>
  <c r="P171" i="4"/>
  <c r="K171" i="4"/>
  <c r="O171" i="4" s="1"/>
  <c r="I171" i="4"/>
  <c r="H171" i="4"/>
  <c r="F171" i="4"/>
  <c r="E171" i="4"/>
  <c r="Q170" i="4"/>
  <c r="P170" i="4"/>
  <c r="K170" i="4"/>
  <c r="O170" i="4" s="1"/>
  <c r="I170" i="4"/>
  <c r="H170" i="4"/>
  <c r="F170" i="4"/>
  <c r="E170" i="4"/>
  <c r="Q169" i="4"/>
  <c r="P169" i="4"/>
  <c r="N169" i="4"/>
  <c r="K169" i="4"/>
  <c r="O169" i="4" s="1"/>
  <c r="I169" i="4"/>
  <c r="H169" i="4"/>
  <c r="F169" i="4"/>
  <c r="E169" i="4"/>
  <c r="Q168" i="4"/>
  <c r="P168" i="4"/>
  <c r="O168" i="4"/>
  <c r="N168" i="4"/>
  <c r="K168" i="4"/>
  <c r="H168" i="4"/>
  <c r="I168" i="4" s="1"/>
  <c r="F168" i="4"/>
  <c r="E168" i="4"/>
  <c r="Q167" i="4"/>
  <c r="P167" i="4"/>
  <c r="O167" i="4"/>
  <c r="N167" i="4"/>
  <c r="K167" i="4"/>
  <c r="H167" i="4"/>
  <c r="I167" i="4" s="1"/>
  <c r="F167" i="4"/>
  <c r="E167" i="4"/>
  <c r="Q166" i="4"/>
  <c r="P166" i="4"/>
  <c r="O166" i="4"/>
  <c r="N166" i="4"/>
  <c r="K166" i="4"/>
  <c r="H166" i="4"/>
  <c r="I166" i="4" s="1"/>
  <c r="F166" i="4"/>
  <c r="E166" i="4"/>
  <c r="Q165" i="4"/>
  <c r="P165" i="4"/>
  <c r="N165" i="4"/>
  <c r="K165" i="4"/>
  <c r="O165" i="4" s="1"/>
  <c r="I165" i="4"/>
  <c r="H165" i="4"/>
  <c r="F165" i="4"/>
  <c r="E165" i="4"/>
  <c r="Q164" i="4"/>
  <c r="P164" i="4"/>
  <c r="K164" i="4"/>
  <c r="O164" i="4" s="1"/>
  <c r="H164" i="4"/>
  <c r="I164" i="4" s="1"/>
  <c r="F164" i="4"/>
  <c r="E164" i="4"/>
  <c r="Q163" i="4"/>
  <c r="P163" i="4"/>
  <c r="K163" i="4"/>
  <c r="O163" i="4" s="1"/>
  <c r="I163" i="4"/>
  <c r="H163" i="4"/>
  <c r="F163" i="4"/>
  <c r="E163" i="4"/>
  <c r="Q162" i="4"/>
  <c r="P162" i="4"/>
  <c r="N162" i="4"/>
  <c r="K162" i="4"/>
  <c r="O162" i="4" s="1"/>
  <c r="I162" i="4"/>
  <c r="H162" i="4"/>
  <c r="F162" i="4"/>
  <c r="E162" i="4"/>
  <c r="Q161" i="4"/>
  <c r="P161" i="4"/>
  <c r="N161" i="4"/>
  <c r="K161" i="4"/>
  <c r="O161" i="4" s="1"/>
  <c r="I161" i="4"/>
  <c r="H161" i="4"/>
  <c r="F161" i="4"/>
  <c r="E161" i="4"/>
  <c r="Q160" i="4"/>
  <c r="P160" i="4"/>
  <c r="O160" i="4"/>
  <c r="N160" i="4"/>
  <c r="K160" i="4"/>
  <c r="H160" i="4"/>
  <c r="I160" i="4" s="1"/>
  <c r="F160" i="4"/>
  <c r="E160" i="4"/>
  <c r="Q159" i="4"/>
  <c r="P159" i="4"/>
  <c r="K159" i="4"/>
  <c r="O159" i="4" s="1"/>
  <c r="H159" i="4"/>
  <c r="I159" i="4" s="1"/>
  <c r="F159" i="4"/>
  <c r="E159" i="4"/>
  <c r="Q158" i="4"/>
  <c r="P158" i="4"/>
  <c r="O158" i="4"/>
  <c r="N158" i="4"/>
  <c r="K158" i="4"/>
  <c r="I158" i="4"/>
  <c r="H158" i="4"/>
  <c r="F158" i="4"/>
  <c r="E158" i="4"/>
  <c r="Q157" i="4"/>
  <c r="P157" i="4"/>
  <c r="N157" i="4"/>
  <c r="K157" i="4"/>
  <c r="O157" i="4" s="1"/>
  <c r="I157" i="4"/>
  <c r="H157" i="4"/>
  <c r="F157" i="4"/>
  <c r="E157" i="4"/>
  <c r="Q156" i="4"/>
  <c r="P156" i="4"/>
  <c r="K156" i="4"/>
  <c r="O156" i="4" s="1"/>
  <c r="H156" i="4"/>
  <c r="I156" i="4" s="1"/>
  <c r="F156" i="4"/>
  <c r="E156" i="4"/>
  <c r="Q155" i="4"/>
  <c r="P155" i="4"/>
  <c r="O155" i="4"/>
  <c r="K155" i="4"/>
  <c r="N155" i="4" s="1"/>
  <c r="H155" i="4"/>
  <c r="I155" i="4" s="1"/>
  <c r="F155" i="4"/>
  <c r="E155" i="4"/>
  <c r="Q154" i="4"/>
  <c r="P154" i="4"/>
  <c r="N154" i="4"/>
  <c r="K154" i="4"/>
  <c r="O154" i="4" s="1"/>
  <c r="I154" i="4"/>
  <c r="H154" i="4"/>
  <c r="F154" i="4"/>
  <c r="E154" i="4"/>
  <c r="Q153" i="4"/>
  <c r="P153" i="4"/>
  <c r="K153" i="4"/>
  <c r="O153" i="4" s="1"/>
  <c r="I153" i="4"/>
  <c r="H153" i="4"/>
  <c r="F153" i="4"/>
  <c r="E153" i="4"/>
  <c r="Q152" i="4"/>
  <c r="P152" i="4"/>
  <c r="K152" i="4"/>
  <c r="O152" i="4" s="1"/>
  <c r="H152" i="4"/>
  <c r="I152" i="4" s="1"/>
  <c r="F152" i="4"/>
  <c r="E152" i="4"/>
  <c r="Q151" i="4"/>
  <c r="P151" i="4"/>
  <c r="O151" i="4"/>
  <c r="N151" i="4"/>
  <c r="K151" i="4"/>
  <c r="H151" i="4"/>
  <c r="I151" i="4" s="1"/>
  <c r="F151" i="4"/>
  <c r="E151" i="4"/>
  <c r="Q150" i="4"/>
  <c r="P150" i="4"/>
  <c r="O150" i="4"/>
  <c r="N150" i="4"/>
  <c r="K150" i="4"/>
  <c r="I150" i="4"/>
  <c r="H150" i="4"/>
  <c r="F150" i="4"/>
  <c r="E150" i="4"/>
  <c r="Q149" i="4"/>
  <c r="P149" i="4"/>
  <c r="N149" i="4"/>
  <c r="K149" i="4"/>
  <c r="O149" i="4" s="1"/>
  <c r="H149" i="4"/>
  <c r="I149" i="4" s="1"/>
  <c r="F149" i="4"/>
  <c r="E149" i="4"/>
  <c r="Q148" i="4"/>
  <c r="P148" i="4"/>
  <c r="O148" i="4"/>
  <c r="K148" i="4"/>
  <c r="N148" i="4" s="1"/>
  <c r="H148" i="4"/>
  <c r="I148" i="4" s="1"/>
  <c r="F148" i="4"/>
  <c r="E148" i="4"/>
  <c r="Q147" i="4"/>
  <c r="P147" i="4"/>
  <c r="K147" i="4"/>
  <c r="O147" i="4" s="1"/>
  <c r="I147" i="4"/>
  <c r="H147" i="4"/>
  <c r="F147" i="4"/>
  <c r="E147" i="4"/>
  <c r="Q146" i="4"/>
  <c r="P146" i="4"/>
  <c r="K146" i="4"/>
  <c r="O146" i="4" s="1"/>
  <c r="I146" i="4"/>
  <c r="H146" i="4"/>
  <c r="F146" i="4"/>
  <c r="E146" i="4"/>
  <c r="Q145" i="4"/>
  <c r="P145" i="4"/>
  <c r="N145" i="4"/>
  <c r="K145" i="4"/>
  <c r="O145" i="4" s="1"/>
  <c r="I145" i="4"/>
  <c r="H145" i="4"/>
  <c r="F145" i="4"/>
  <c r="E145" i="4"/>
  <c r="Q144" i="4"/>
  <c r="P144" i="4"/>
  <c r="O144" i="4"/>
  <c r="N144" i="4"/>
  <c r="K144" i="4"/>
  <c r="H144" i="4"/>
  <c r="I144" i="4" s="1"/>
  <c r="F144" i="4"/>
  <c r="E144" i="4"/>
  <c r="Q143" i="4"/>
  <c r="P143" i="4"/>
  <c r="O143" i="4"/>
  <c r="N143" i="4"/>
  <c r="K143" i="4"/>
  <c r="H143" i="4"/>
  <c r="I143" i="4" s="1"/>
  <c r="F143" i="4"/>
  <c r="E143" i="4"/>
  <c r="Q142" i="4"/>
  <c r="P142" i="4"/>
  <c r="O142" i="4"/>
  <c r="N142" i="4"/>
  <c r="K142" i="4"/>
  <c r="H142" i="4"/>
  <c r="I142" i="4" s="1"/>
  <c r="F142" i="4"/>
  <c r="E142" i="4"/>
  <c r="Q141" i="4"/>
  <c r="P141" i="4"/>
  <c r="O141" i="4"/>
  <c r="K141" i="4"/>
  <c r="N141" i="4" s="1"/>
  <c r="H141" i="4"/>
  <c r="I141" i="4" s="1"/>
  <c r="F141" i="4"/>
  <c r="E141" i="4"/>
  <c r="Q140" i="4"/>
  <c r="P140" i="4"/>
  <c r="N140" i="4"/>
  <c r="K140" i="4"/>
  <c r="O140" i="4" s="1"/>
  <c r="I140" i="4"/>
  <c r="H140" i="4"/>
  <c r="F140" i="4"/>
  <c r="E140" i="4"/>
  <c r="Q139" i="4"/>
  <c r="P139" i="4"/>
  <c r="O139" i="4"/>
  <c r="N139" i="4"/>
  <c r="K139" i="4"/>
  <c r="H139" i="4"/>
  <c r="I139" i="4" s="1"/>
  <c r="F139" i="4"/>
  <c r="E139" i="4"/>
  <c r="Q138" i="4"/>
  <c r="P138" i="4"/>
  <c r="O138" i="4"/>
  <c r="N138" i="4"/>
  <c r="K138" i="4"/>
  <c r="H138" i="4"/>
  <c r="I138" i="4" s="1"/>
  <c r="F138" i="4"/>
  <c r="E138" i="4"/>
  <c r="Q137" i="4"/>
  <c r="P137" i="4"/>
  <c r="O137" i="4"/>
  <c r="K137" i="4"/>
  <c r="N137" i="4" s="1"/>
  <c r="H137" i="4"/>
  <c r="I137" i="4" s="1"/>
  <c r="F137" i="4"/>
  <c r="E137" i="4"/>
  <c r="Q136" i="4"/>
  <c r="P136" i="4"/>
  <c r="N136" i="4"/>
  <c r="K136" i="4"/>
  <c r="O136" i="4" s="1"/>
  <c r="I136" i="4"/>
  <c r="H136" i="4"/>
  <c r="F136" i="4"/>
  <c r="E136" i="4"/>
  <c r="Q135" i="4"/>
  <c r="P135" i="4"/>
  <c r="O135" i="4"/>
  <c r="N135" i="4"/>
  <c r="K135" i="4"/>
  <c r="H135" i="4"/>
  <c r="I135" i="4" s="1"/>
  <c r="F135" i="4"/>
  <c r="E135" i="4"/>
  <c r="Q134" i="4"/>
  <c r="P134" i="4"/>
  <c r="O134" i="4"/>
  <c r="N134" i="4"/>
  <c r="K134" i="4"/>
  <c r="H134" i="4"/>
  <c r="I134" i="4" s="1"/>
  <c r="F134" i="4"/>
  <c r="E134" i="4"/>
  <c r="Q133" i="4"/>
  <c r="P133" i="4"/>
  <c r="O133" i="4"/>
  <c r="K133" i="4"/>
  <c r="N133" i="4" s="1"/>
  <c r="H133" i="4"/>
  <c r="I133" i="4" s="1"/>
  <c r="F133" i="4"/>
  <c r="E133" i="4"/>
  <c r="Q132" i="4"/>
  <c r="P132" i="4"/>
  <c r="N132" i="4"/>
  <c r="K132" i="4"/>
  <c r="O132" i="4" s="1"/>
  <c r="I132" i="4"/>
  <c r="H132" i="4"/>
  <c r="F132" i="4"/>
  <c r="E132" i="4"/>
  <c r="Q131" i="4"/>
  <c r="P131" i="4"/>
  <c r="O131" i="4"/>
  <c r="N131" i="4"/>
  <c r="K131" i="4"/>
  <c r="H131" i="4"/>
  <c r="I131" i="4" s="1"/>
  <c r="F131" i="4"/>
  <c r="E131" i="4"/>
  <c r="Q130" i="4"/>
  <c r="P130" i="4"/>
  <c r="O130" i="4"/>
  <c r="N130" i="4"/>
  <c r="K130" i="4"/>
  <c r="H130" i="4"/>
  <c r="I130" i="4" s="1"/>
  <c r="F130" i="4"/>
  <c r="E130" i="4"/>
  <c r="Q129" i="4"/>
  <c r="P129" i="4"/>
  <c r="O129" i="4"/>
  <c r="K129" i="4"/>
  <c r="N129" i="4" s="1"/>
  <c r="H129" i="4"/>
  <c r="I129" i="4" s="1"/>
  <c r="F129" i="4"/>
  <c r="E129" i="4"/>
  <c r="Q128" i="4"/>
  <c r="P128" i="4"/>
  <c r="N128" i="4"/>
  <c r="K128" i="4"/>
  <c r="O128" i="4" s="1"/>
  <c r="I128" i="4"/>
  <c r="H128" i="4"/>
  <c r="F128" i="4"/>
  <c r="E128" i="4"/>
  <c r="Q127" i="4"/>
  <c r="P127" i="4"/>
  <c r="O127" i="4"/>
  <c r="N127" i="4"/>
  <c r="K127" i="4"/>
  <c r="H127" i="4"/>
  <c r="I127" i="4" s="1"/>
  <c r="F127" i="4"/>
  <c r="E127" i="4"/>
  <c r="Q126" i="4"/>
  <c r="P126" i="4"/>
  <c r="O126" i="4"/>
  <c r="N126" i="4"/>
  <c r="K126" i="4"/>
  <c r="H126" i="4"/>
  <c r="I126" i="4" s="1"/>
  <c r="F126" i="4"/>
  <c r="E126" i="4"/>
  <c r="Q125" i="4"/>
  <c r="P125" i="4"/>
  <c r="O125" i="4"/>
  <c r="K125" i="4"/>
  <c r="N125" i="4" s="1"/>
  <c r="H125" i="4"/>
  <c r="I125" i="4" s="1"/>
  <c r="F125" i="4"/>
  <c r="E125" i="4"/>
  <c r="Q124" i="4"/>
  <c r="P124" i="4"/>
  <c r="N124" i="4"/>
  <c r="K124" i="4"/>
  <c r="O124" i="4" s="1"/>
  <c r="I124" i="4"/>
  <c r="H124" i="4"/>
  <c r="F124" i="4"/>
  <c r="E124" i="4"/>
  <c r="Q123" i="4"/>
  <c r="P123" i="4"/>
  <c r="O123" i="4"/>
  <c r="N123" i="4"/>
  <c r="K123" i="4"/>
  <c r="H123" i="4"/>
  <c r="I123" i="4" s="1"/>
  <c r="F123" i="4"/>
  <c r="E123" i="4"/>
  <c r="Q122" i="4"/>
  <c r="P122" i="4"/>
  <c r="O122" i="4"/>
  <c r="N122" i="4"/>
  <c r="K122" i="4"/>
  <c r="H122" i="4"/>
  <c r="I122" i="4" s="1"/>
  <c r="F122" i="4"/>
  <c r="E122" i="4"/>
  <c r="Q121" i="4"/>
  <c r="P121" i="4"/>
  <c r="O121" i="4"/>
  <c r="K121" i="4"/>
  <c r="N121" i="4" s="1"/>
  <c r="H121" i="4"/>
  <c r="I121" i="4" s="1"/>
  <c r="F121" i="4"/>
  <c r="E121" i="4"/>
  <c r="Q120" i="4"/>
  <c r="P120" i="4"/>
  <c r="N120" i="4"/>
  <c r="K120" i="4"/>
  <c r="O120" i="4" s="1"/>
  <c r="I120" i="4"/>
  <c r="H120" i="4"/>
  <c r="F120" i="4"/>
  <c r="E120" i="4"/>
  <c r="Q119" i="4"/>
  <c r="P119" i="4"/>
  <c r="O119" i="4"/>
  <c r="N119" i="4"/>
  <c r="K119" i="4"/>
  <c r="H119" i="4"/>
  <c r="I119" i="4" s="1"/>
  <c r="F119" i="4"/>
  <c r="E119" i="4"/>
  <c r="Q118" i="4"/>
  <c r="P118" i="4"/>
  <c r="O118" i="4"/>
  <c r="N118" i="4"/>
  <c r="K118" i="4"/>
  <c r="H118" i="4"/>
  <c r="I118" i="4" s="1"/>
  <c r="F118" i="4"/>
  <c r="E118" i="4"/>
  <c r="Q117" i="4"/>
  <c r="P117" i="4"/>
  <c r="O117" i="4"/>
  <c r="K117" i="4"/>
  <c r="N117" i="4" s="1"/>
  <c r="H117" i="4"/>
  <c r="I117" i="4" s="1"/>
  <c r="F117" i="4"/>
  <c r="E117" i="4"/>
  <c r="Q116" i="4"/>
  <c r="P116" i="4"/>
  <c r="N116" i="4"/>
  <c r="K116" i="4"/>
  <c r="O116" i="4" s="1"/>
  <c r="I116" i="4"/>
  <c r="H116" i="4"/>
  <c r="F116" i="4"/>
  <c r="E116" i="4"/>
  <c r="Q115" i="4"/>
  <c r="P115" i="4"/>
  <c r="O115" i="4"/>
  <c r="N115" i="4"/>
  <c r="K115" i="4"/>
  <c r="H115" i="4"/>
  <c r="I115" i="4" s="1"/>
  <c r="F115" i="4"/>
  <c r="E115" i="4"/>
  <c r="Q114" i="4"/>
  <c r="P114" i="4"/>
  <c r="O114" i="4"/>
  <c r="N114" i="4"/>
  <c r="K114" i="4"/>
  <c r="H114" i="4"/>
  <c r="I114" i="4" s="1"/>
  <c r="F114" i="4"/>
  <c r="E114" i="4"/>
  <c r="Q113" i="4"/>
  <c r="P113" i="4"/>
  <c r="O113" i="4"/>
  <c r="K113" i="4"/>
  <c r="N113" i="4" s="1"/>
  <c r="H113" i="4"/>
  <c r="I113" i="4" s="1"/>
  <c r="F113" i="4"/>
  <c r="E113" i="4"/>
  <c r="Q112" i="4"/>
  <c r="P112" i="4"/>
  <c r="N112" i="4"/>
  <c r="K112" i="4"/>
  <c r="O112" i="4" s="1"/>
  <c r="I112" i="4"/>
  <c r="H112" i="4"/>
  <c r="F112" i="4"/>
  <c r="E112" i="4"/>
  <c r="Q111" i="4"/>
  <c r="P111" i="4"/>
  <c r="O111" i="4"/>
  <c r="N111" i="4"/>
  <c r="K111" i="4"/>
  <c r="H111" i="4"/>
  <c r="I111" i="4" s="1"/>
  <c r="F111" i="4"/>
  <c r="E111" i="4"/>
  <c r="Q110" i="4"/>
  <c r="P110" i="4"/>
  <c r="O110" i="4"/>
  <c r="N110" i="4"/>
  <c r="K110" i="4"/>
  <c r="H110" i="4"/>
  <c r="I110" i="4" s="1"/>
  <c r="F110" i="4"/>
  <c r="E110" i="4"/>
  <c r="Q109" i="4"/>
  <c r="P109" i="4"/>
  <c r="O109" i="4"/>
  <c r="K109" i="4"/>
  <c r="N109" i="4" s="1"/>
  <c r="H109" i="4"/>
  <c r="I109" i="4" s="1"/>
  <c r="F109" i="4"/>
  <c r="E109" i="4"/>
  <c r="Q108" i="4"/>
  <c r="P108" i="4"/>
  <c r="N108" i="4"/>
  <c r="K108" i="4"/>
  <c r="O108" i="4" s="1"/>
  <c r="I108" i="4"/>
  <c r="H108" i="4"/>
  <c r="F108" i="4"/>
  <c r="E108" i="4"/>
  <c r="Q107" i="4"/>
  <c r="P107" i="4"/>
  <c r="O107" i="4"/>
  <c r="N107" i="4"/>
  <c r="K107" i="4"/>
  <c r="H107" i="4"/>
  <c r="I107" i="4" s="1"/>
  <c r="F107" i="4"/>
  <c r="E107" i="4"/>
  <c r="Q106" i="4"/>
  <c r="P106" i="4"/>
  <c r="O106" i="4"/>
  <c r="N106" i="4"/>
  <c r="K106" i="4"/>
  <c r="H106" i="4"/>
  <c r="I106" i="4" s="1"/>
  <c r="F106" i="4"/>
  <c r="E106" i="4"/>
  <c r="Q105" i="4"/>
  <c r="P105" i="4"/>
  <c r="O105" i="4"/>
  <c r="K105" i="4"/>
  <c r="N105" i="4" s="1"/>
  <c r="H105" i="4"/>
  <c r="I105" i="4" s="1"/>
  <c r="F105" i="4"/>
  <c r="E105" i="4"/>
  <c r="Q104" i="4"/>
  <c r="P104" i="4"/>
  <c r="N104" i="4"/>
  <c r="K104" i="4"/>
  <c r="O104" i="4" s="1"/>
  <c r="I104" i="4"/>
  <c r="H104" i="4"/>
  <c r="F104" i="4"/>
  <c r="E104" i="4"/>
  <c r="Q103" i="4"/>
  <c r="P103" i="4"/>
  <c r="O103" i="4"/>
  <c r="N103" i="4"/>
  <c r="K103" i="4"/>
  <c r="H103" i="4"/>
  <c r="I103" i="4" s="1"/>
  <c r="F103" i="4"/>
  <c r="E103" i="4"/>
  <c r="Q102" i="4"/>
  <c r="P102" i="4"/>
  <c r="O102" i="4"/>
  <c r="N102" i="4"/>
  <c r="K102" i="4"/>
  <c r="H102" i="4"/>
  <c r="I102" i="4" s="1"/>
  <c r="F102" i="4"/>
  <c r="E102" i="4"/>
  <c r="Q101" i="4"/>
  <c r="P101" i="4"/>
  <c r="O101" i="4"/>
  <c r="K101" i="4"/>
  <c r="N101" i="4" s="1"/>
  <c r="H101" i="4"/>
  <c r="I101" i="4" s="1"/>
  <c r="F101" i="4"/>
  <c r="E101" i="4"/>
  <c r="Q100" i="4"/>
  <c r="P100" i="4"/>
  <c r="N100" i="4"/>
  <c r="K100" i="4"/>
  <c r="O100" i="4" s="1"/>
  <c r="I100" i="4"/>
  <c r="H100" i="4"/>
  <c r="F100" i="4"/>
  <c r="E100" i="4"/>
  <c r="Q99" i="4"/>
  <c r="P99" i="4"/>
  <c r="O99" i="4"/>
  <c r="N99" i="4"/>
  <c r="K99" i="4"/>
  <c r="H99" i="4"/>
  <c r="I99" i="4" s="1"/>
  <c r="F99" i="4"/>
  <c r="E99" i="4"/>
  <c r="Q98" i="4"/>
  <c r="P98" i="4"/>
  <c r="O98" i="4"/>
  <c r="N98" i="4"/>
  <c r="K98" i="4"/>
  <c r="H98" i="4"/>
  <c r="I98" i="4" s="1"/>
  <c r="F98" i="4"/>
  <c r="E98" i="4"/>
  <c r="Q97" i="4"/>
  <c r="P97" i="4"/>
  <c r="O97" i="4"/>
  <c r="N97" i="4"/>
  <c r="K97" i="4"/>
  <c r="H97" i="4"/>
  <c r="I97" i="4" s="1"/>
  <c r="F97" i="4"/>
  <c r="E97" i="4"/>
  <c r="Q96" i="4"/>
  <c r="P96" i="4"/>
  <c r="N96" i="4"/>
  <c r="K96" i="4"/>
  <c r="O96" i="4" s="1"/>
  <c r="I96" i="4"/>
  <c r="H96" i="4"/>
  <c r="F96" i="4"/>
  <c r="E96" i="4"/>
  <c r="Q95" i="4"/>
  <c r="P95" i="4"/>
  <c r="O95" i="4"/>
  <c r="N95" i="4"/>
  <c r="K95" i="4"/>
  <c r="H95" i="4"/>
  <c r="I95" i="4" s="1"/>
  <c r="F95" i="4"/>
  <c r="E95" i="4"/>
  <c r="Q94" i="4"/>
  <c r="P94" i="4"/>
  <c r="O94" i="4"/>
  <c r="N94" i="4"/>
  <c r="K94" i="4"/>
  <c r="H94" i="4"/>
  <c r="I94" i="4" s="1"/>
  <c r="F94" i="4"/>
  <c r="E94" i="4"/>
  <c r="Q93" i="4"/>
  <c r="P93" i="4"/>
  <c r="O93" i="4"/>
  <c r="N93" i="4"/>
  <c r="K93" i="4"/>
  <c r="H93" i="4"/>
  <c r="I93" i="4" s="1"/>
  <c r="F93" i="4"/>
  <c r="E93" i="4"/>
  <c r="Q92" i="4"/>
  <c r="P92" i="4"/>
  <c r="N92" i="4"/>
  <c r="K92" i="4"/>
  <c r="O92" i="4" s="1"/>
  <c r="I92" i="4"/>
  <c r="H92" i="4"/>
  <c r="F92" i="4"/>
  <c r="E92" i="4"/>
  <c r="Q91" i="4"/>
  <c r="P91" i="4"/>
  <c r="O91" i="4"/>
  <c r="N91" i="4"/>
  <c r="K91" i="4"/>
  <c r="H91" i="4"/>
  <c r="I91" i="4" s="1"/>
  <c r="F91" i="4"/>
  <c r="E91" i="4"/>
  <c r="Q90" i="4"/>
  <c r="P90" i="4"/>
  <c r="O90" i="4"/>
  <c r="N90" i="4"/>
  <c r="K90" i="4"/>
  <c r="H90" i="4"/>
  <c r="I90" i="4" s="1"/>
  <c r="F90" i="4"/>
  <c r="E90" i="4"/>
  <c r="Q89" i="4"/>
  <c r="P89" i="4"/>
  <c r="O89" i="4"/>
  <c r="N89" i="4"/>
  <c r="K89" i="4"/>
  <c r="H89" i="4"/>
  <c r="I89" i="4" s="1"/>
  <c r="F89" i="4"/>
  <c r="E89" i="4"/>
  <c r="Q88" i="4"/>
  <c r="P88" i="4"/>
  <c r="N88" i="4"/>
  <c r="K88" i="4"/>
  <c r="O88" i="4" s="1"/>
  <c r="I88" i="4"/>
  <c r="H88" i="4"/>
  <c r="F88" i="4"/>
  <c r="E88" i="4"/>
  <c r="Q87" i="4"/>
  <c r="P87" i="4"/>
  <c r="O87" i="4"/>
  <c r="N87" i="4"/>
  <c r="K87" i="4"/>
  <c r="H87" i="4"/>
  <c r="I87" i="4" s="1"/>
  <c r="F87" i="4"/>
  <c r="E87" i="4"/>
  <c r="Q86" i="4"/>
  <c r="P86" i="4"/>
  <c r="O86" i="4"/>
  <c r="N86" i="4"/>
  <c r="K86" i="4"/>
  <c r="H86" i="4"/>
  <c r="I86" i="4" s="1"/>
  <c r="F86" i="4"/>
  <c r="E86" i="4"/>
  <c r="Q85" i="4"/>
  <c r="P85" i="4"/>
  <c r="O85" i="4"/>
  <c r="N85" i="4"/>
  <c r="K85" i="4"/>
  <c r="H85" i="4"/>
  <c r="I85" i="4" s="1"/>
  <c r="F85" i="4"/>
  <c r="E85" i="4"/>
  <c r="Q84" i="4"/>
  <c r="P84" i="4"/>
  <c r="N84" i="4"/>
  <c r="K84" i="4"/>
  <c r="O84" i="4" s="1"/>
  <c r="I84" i="4"/>
  <c r="H84" i="4"/>
  <c r="F84" i="4"/>
  <c r="E84" i="4"/>
  <c r="Q83" i="4"/>
  <c r="P83" i="4"/>
  <c r="O83" i="4"/>
  <c r="N83" i="4"/>
  <c r="K83" i="4"/>
  <c r="H83" i="4"/>
  <c r="I83" i="4" s="1"/>
  <c r="F83" i="4"/>
  <c r="E83" i="4"/>
  <c r="Q82" i="4"/>
  <c r="P82" i="4"/>
  <c r="O82" i="4"/>
  <c r="N82" i="4"/>
  <c r="K82" i="4"/>
  <c r="H82" i="4"/>
  <c r="I82" i="4" s="1"/>
  <c r="F82" i="4"/>
  <c r="E82" i="4"/>
  <c r="Q81" i="4"/>
  <c r="P81" i="4"/>
  <c r="O81" i="4"/>
  <c r="N81" i="4"/>
  <c r="K81" i="4"/>
  <c r="H81" i="4"/>
  <c r="I81" i="4" s="1"/>
  <c r="F81" i="4"/>
  <c r="E81" i="4"/>
  <c r="Q80" i="4"/>
  <c r="P80" i="4"/>
  <c r="N80" i="4"/>
  <c r="K80" i="4"/>
  <c r="O80" i="4" s="1"/>
  <c r="I80" i="4"/>
  <c r="H80" i="4"/>
  <c r="F80" i="4"/>
  <c r="E80" i="4"/>
  <c r="Q79" i="4"/>
  <c r="P79" i="4"/>
  <c r="O79" i="4"/>
  <c r="N79" i="4"/>
  <c r="K79" i="4"/>
  <c r="H79" i="4"/>
  <c r="I79" i="4" s="1"/>
  <c r="F79" i="4"/>
  <c r="E79" i="4"/>
  <c r="Q78" i="4"/>
  <c r="P78" i="4"/>
  <c r="O78" i="4"/>
  <c r="N78" i="4"/>
  <c r="K78" i="4"/>
  <c r="H78" i="4"/>
  <c r="I78" i="4" s="1"/>
  <c r="F78" i="4"/>
  <c r="E78" i="4"/>
  <c r="Q77" i="4"/>
  <c r="P77" i="4"/>
  <c r="O77" i="4"/>
  <c r="N77" i="4"/>
  <c r="K77" i="4"/>
  <c r="H77" i="4"/>
  <c r="I77" i="4" s="1"/>
  <c r="F77" i="4"/>
  <c r="E77" i="4"/>
  <c r="Q76" i="4"/>
  <c r="P76" i="4"/>
  <c r="N76" i="4"/>
  <c r="K76" i="4"/>
  <c r="O76" i="4" s="1"/>
  <c r="I76" i="4"/>
  <c r="H76" i="4"/>
  <c r="F76" i="4"/>
  <c r="E76" i="4"/>
  <c r="Q75" i="4"/>
  <c r="P75" i="4"/>
  <c r="O75" i="4"/>
  <c r="N75" i="4"/>
  <c r="K75" i="4"/>
  <c r="H75" i="4"/>
  <c r="I75" i="4" s="1"/>
  <c r="F75" i="4"/>
  <c r="E75" i="4"/>
  <c r="Q74" i="4"/>
  <c r="P74" i="4"/>
  <c r="O74" i="4"/>
  <c r="N74" i="4"/>
  <c r="K74" i="4"/>
  <c r="H74" i="4"/>
  <c r="I74" i="4" s="1"/>
  <c r="F74" i="4"/>
  <c r="E74" i="4"/>
  <c r="Q73" i="4"/>
  <c r="P73" i="4"/>
  <c r="O73" i="4"/>
  <c r="N73" i="4"/>
  <c r="K73" i="4"/>
  <c r="H73" i="4"/>
  <c r="I73" i="4" s="1"/>
  <c r="F73" i="4"/>
  <c r="E73" i="4"/>
  <c r="Q72" i="4"/>
  <c r="P72" i="4"/>
  <c r="N72" i="4"/>
  <c r="K72" i="4"/>
  <c r="O72" i="4" s="1"/>
  <c r="I72" i="4"/>
  <c r="H72" i="4"/>
  <c r="F72" i="4"/>
  <c r="E72" i="4"/>
  <c r="Q71" i="4"/>
  <c r="P71" i="4"/>
  <c r="O71" i="4"/>
  <c r="N71" i="4"/>
  <c r="K71" i="4"/>
  <c r="H71" i="4"/>
  <c r="I71" i="4" s="1"/>
  <c r="F71" i="4"/>
  <c r="E71" i="4"/>
  <c r="Q70" i="4"/>
  <c r="P70" i="4"/>
  <c r="O70" i="4"/>
  <c r="N70" i="4"/>
  <c r="K70" i="4"/>
  <c r="H70" i="4"/>
  <c r="I70" i="4" s="1"/>
  <c r="F70" i="4"/>
  <c r="E70" i="4"/>
  <c r="Q69" i="4"/>
  <c r="C65" i="2" s="1"/>
  <c r="P69" i="4"/>
  <c r="O69" i="4"/>
  <c r="N69" i="4"/>
  <c r="K69" i="4"/>
  <c r="H69" i="4"/>
  <c r="I69" i="4" s="1"/>
  <c r="F69" i="4"/>
  <c r="E69" i="4"/>
  <c r="Q68" i="4"/>
  <c r="P68" i="4"/>
  <c r="N68" i="4"/>
  <c r="K68" i="4"/>
  <c r="O68" i="4" s="1"/>
  <c r="I68" i="4"/>
  <c r="H68" i="4"/>
  <c r="F68" i="4"/>
  <c r="E68" i="4"/>
  <c r="Q67" i="4"/>
  <c r="P67" i="4"/>
  <c r="O67" i="4"/>
  <c r="N67" i="4"/>
  <c r="K67" i="4"/>
  <c r="H67" i="4"/>
  <c r="I67" i="4" s="1"/>
  <c r="F67" i="4"/>
  <c r="E67" i="4"/>
  <c r="Q66" i="4"/>
  <c r="P66" i="4"/>
  <c r="O66" i="4"/>
  <c r="N66" i="4"/>
  <c r="K66" i="4"/>
  <c r="H66" i="4"/>
  <c r="I66" i="4" s="1"/>
  <c r="F66" i="4"/>
  <c r="E66" i="4"/>
  <c r="Q65" i="4"/>
  <c r="P65" i="4"/>
  <c r="O65" i="4"/>
  <c r="N65" i="4"/>
  <c r="K65" i="4"/>
  <c r="H65" i="4"/>
  <c r="I65" i="4" s="1"/>
  <c r="F65" i="4"/>
  <c r="E65" i="4"/>
  <c r="Q64" i="4"/>
  <c r="P64" i="4"/>
  <c r="N64" i="4"/>
  <c r="K64" i="4"/>
  <c r="O64" i="4" s="1"/>
  <c r="H64" i="4"/>
  <c r="I64" i="4" s="1"/>
  <c r="F64" i="4"/>
  <c r="E64" i="4"/>
  <c r="Q63" i="4"/>
  <c r="P63" i="4"/>
  <c r="O63" i="4"/>
  <c r="N63" i="4"/>
  <c r="K63" i="4"/>
  <c r="H63" i="4"/>
  <c r="I63" i="4" s="1"/>
  <c r="F63" i="4"/>
  <c r="E63" i="4"/>
  <c r="Q62" i="4"/>
  <c r="P62" i="4"/>
  <c r="O62" i="4"/>
  <c r="N62" i="4"/>
  <c r="K62" i="4"/>
  <c r="H62" i="4"/>
  <c r="I62" i="4" s="1"/>
  <c r="F62" i="4"/>
  <c r="E62" i="4"/>
  <c r="Q61" i="4"/>
  <c r="P61" i="4"/>
  <c r="O61" i="4"/>
  <c r="N61" i="4"/>
  <c r="K61" i="4"/>
  <c r="H61" i="4"/>
  <c r="I61" i="4" s="1"/>
  <c r="F61" i="4"/>
  <c r="E61" i="4"/>
  <c r="Q60" i="4"/>
  <c r="P60" i="4"/>
  <c r="N60" i="4"/>
  <c r="K60" i="4"/>
  <c r="O60" i="4" s="1"/>
  <c r="H60" i="4"/>
  <c r="I60" i="4" s="1"/>
  <c r="F60" i="4"/>
  <c r="E60" i="4"/>
  <c r="Q59" i="4"/>
  <c r="P59" i="4"/>
  <c r="O59" i="4"/>
  <c r="N59" i="4"/>
  <c r="K59" i="4"/>
  <c r="H59" i="4"/>
  <c r="I59" i="4" s="1"/>
  <c r="F59" i="4"/>
  <c r="E59" i="4"/>
  <c r="Q58" i="4"/>
  <c r="P58" i="4"/>
  <c r="O58" i="4"/>
  <c r="N58" i="4"/>
  <c r="K58" i="4"/>
  <c r="H58" i="4"/>
  <c r="I58" i="4" s="1"/>
  <c r="F58" i="4"/>
  <c r="E58" i="4"/>
  <c r="Q57" i="4"/>
  <c r="P57" i="4"/>
  <c r="O57" i="4"/>
  <c r="N57" i="4"/>
  <c r="K57" i="4"/>
  <c r="H57" i="4"/>
  <c r="I57" i="4" s="1"/>
  <c r="F57" i="4"/>
  <c r="E57" i="4"/>
  <c r="Q56" i="4"/>
  <c r="P56" i="4"/>
  <c r="N56" i="4"/>
  <c r="K56" i="4"/>
  <c r="O56" i="4" s="1"/>
  <c r="H56" i="4"/>
  <c r="I56" i="4" s="1"/>
  <c r="F56" i="4"/>
  <c r="E56" i="4"/>
  <c r="Q55" i="4"/>
  <c r="P55" i="4"/>
  <c r="O55" i="4"/>
  <c r="N55" i="4"/>
  <c r="K55" i="4"/>
  <c r="H55" i="4"/>
  <c r="I55" i="4" s="1"/>
  <c r="F55" i="4"/>
  <c r="E55" i="4"/>
  <c r="Q54" i="4"/>
  <c r="P54" i="4"/>
  <c r="O54" i="4"/>
  <c r="N54" i="4"/>
  <c r="K54" i="4"/>
  <c r="H54" i="4"/>
  <c r="I54" i="4" s="1"/>
  <c r="F54" i="4"/>
  <c r="E54" i="4"/>
  <c r="Q53" i="4"/>
  <c r="P53" i="4"/>
  <c r="O53" i="4"/>
  <c r="N53" i="4"/>
  <c r="K53" i="4"/>
  <c r="H53" i="4"/>
  <c r="I53" i="4" s="1"/>
  <c r="F53" i="4"/>
  <c r="E53" i="4"/>
  <c r="Q52" i="4"/>
  <c r="P52" i="4"/>
  <c r="N52" i="4"/>
  <c r="K52" i="4"/>
  <c r="O52" i="4" s="1"/>
  <c r="H52" i="4"/>
  <c r="I52" i="4" s="1"/>
  <c r="F52" i="4"/>
  <c r="E52" i="4"/>
  <c r="Q51" i="4"/>
  <c r="P51" i="4"/>
  <c r="O51" i="4"/>
  <c r="N51" i="4"/>
  <c r="K51" i="4"/>
  <c r="H51" i="4"/>
  <c r="I51" i="4" s="1"/>
  <c r="F51" i="4"/>
  <c r="E51" i="4"/>
  <c r="Q50" i="4"/>
  <c r="P50" i="4"/>
  <c r="O50" i="4"/>
  <c r="N50" i="4"/>
  <c r="K50" i="4"/>
  <c r="H50" i="4"/>
  <c r="I50" i="4" s="1"/>
  <c r="F50" i="4"/>
  <c r="E50" i="4"/>
  <c r="Q49" i="4"/>
  <c r="P49" i="4"/>
  <c r="O49" i="4"/>
  <c r="N49" i="4"/>
  <c r="K49" i="4"/>
  <c r="H49" i="4"/>
  <c r="I49" i="4" s="1"/>
  <c r="F49" i="4"/>
  <c r="E49" i="4"/>
  <c r="Q48" i="4"/>
  <c r="P48" i="4"/>
  <c r="N48" i="4"/>
  <c r="K48" i="4"/>
  <c r="O48" i="4" s="1"/>
  <c r="H48" i="4"/>
  <c r="I48" i="4" s="1"/>
  <c r="F48" i="4"/>
  <c r="E48" i="4"/>
  <c r="Q47" i="4"/>
  <c r="P47" i="4"/>
  <c r="O47" i="4"/>
  <c r="N47" i="4"/>
  <c r="K47" i="4"/>
  <c r="H47" i="4"/>
  <c r="I47" i="4" s="1"/>
  <c r="F47" i="4"/>
  <c r="E47" i="4"/>
  <c r="Q46" i="4"/>
  <c r="P46" i="4"/>
  <c r="O46" i="4"/>
  <c r="N46" i="4"/>
  <c r="K46" i="4"/>
  <c r="H46" i="4"/>
  <c r="I46" i="4" s="1"/>
  <c r="F46" i="4"/>
  <c r="E46" i="4"/>
  <c r="Q45" i="4"/>
  <c r="P45" i="4"/>
  <c r="O45" i="4"/>
  <c r="N45" i="4"/>
  <c r="K45" i="4"/>
  <c r="H45" i="4"/>
  <c r="I45" i="4" s="1"/>
  <c r="F45" i="4"/>
  <c r="E45" i="4"/>
  <c r="Q44" i="4"/>
  <c r="P44" i="4"/>
  <c r="N44" i="4"/>
  <c r="K44" i="4"/>
  <c r="O44" i="4" s="1"/>
  <c r="H44" i="4"/>
  <c r="I44" i="4" s="1"/>
  <c r="F44" i="4"/>
  <c r="E44" i="4"/>
  <c r="Q43" i="4"/>
  <c r="P43" i="4"/>
  <c r="O43" i="4"/>
  <c r="N43" i="4"/>
  <c r="K43" i="4"/>
  <c r="H43" i="4"/>
  <c r="I43" i="4" s="1"/>
  <c r="F43" i="4"/>
  <c r="E43" i="4"/>
  <c r="Q42" i="4"/>
  <c r="P42" i="4"/>
  <c r="O42" i="4"/>
  <c r="N42" i="4"/>
  <c r="K42" i="4"/>
  <c r="H42" i="4"/>
  <c r="I42" i="4" s="1"/>
  <c r="F42" i="4"/>
  <c r="E42" i="4"/>
  <c r="Q41" i="4"/>
  <c r="E61" i="2" s="1"/>
  <c r="P41" i="4"/>
  <c r="O41" i="4"/>
  <c r="N41" i="4"/>
  <c r="K41" i="4"/>
  <c r="H41" i="4"/>
  <c r="I41" i="4" s="1"/>
  <c r="F41" i="4"/>
  <c r="E41" i="4"/>
  <c r="Q40" i="4"/>
  <c r="P40" i="4"/>
  <c r="N40" i="4"/>
  <c r="K40" i="4"/>
  <c r="O40" i="4" s="1"/>
  <c r="H40" i="4"/>
  <c r="I40" i="4" s="1"/>
  <c r="F40" i="4"/>
  <c r="E40" i="4"/>
  <c r="Q39" i="4"/>
  <c r="P39" i="4"/>
  <c r="O39" i="4"/>
  <c r="N39" i="4"/>
  <c r="K39" i="4"/>
  <c r="H39" i="4"/>
  <c r="I39" i="4" s="1"/>
  <c r="F39" i="4"/>
  <c r="E39" i="4"/>
  <c r="Q38" i="4"/>
  <c r="P38" i="4"/>
  <c r="O38" i="4"/>
  <c r="N38" i="4"/>
  <c r="K38" i="4"/>
  <c r="H38" i="4"/>
  <c r="I38" i="4" s="1"/>
  <c r="F38" i="4"/>
  <c r="E38" i="4"/>
  <c r="Q37" i="4"/>
  <c r="P37" i="4"/>
  <c r="O37" i="4"/>
  <c r="N37" i="4"/>
  <c r="K37" i="4"/>
  <c r="H37" i="4"/>
  <c r="I37" i="4" s="1"/>
  <c r="F37" i="4"/>
  <c r="E37" i="4"/>
  <c r="Q36" i="4"/>
  <c r="P36" i="4"/>
  <c r="N36" i="4"/>
  <c r="K36" i="4"/>
  <c r="O36" i="4" s="1"/>
  <c r="H36" i="4"/>
  <c r="I36" i="4" s="1"/>
  <c r="F36" i="4"/>
  <c r="E36" i="4"/>
  <c r="Q35" i="4"/>
  <c r="P35" i="4"/>
  <c r="O35" i="4"/>
  <c r="N35" i="4"/>
  <c r="K35" i="4"/>
  <c r="H35" i="4"/>
  <c r="I35" i="4" s="1"/>
  <c r="F35" i="4"/>
  <c r="E35" i="4"/>
  <c r="Q34" i="4"/>
  <c r="P34" i="4"/>
  <c r="O34" i="4"/>
  <c r="N34" i="4"/>
  <c r="K34" i="4"/>
  <c r="H34" i="4"/>
  <c r="I34" i="4" s="1"/>
  <c r="F34" i="4"/>
  <c r="E34" i="4"/>
  <c r="Q33" i="4"/>
  <c r="P33" i="4"/>
  <c r="O33" i="4"/>
  <c r="N33" i="4"/>
  <c r="K33" i="4"/>
  <c r="H33" i="4"/>
  <c r="I33" i="4" s="1"/>
  <c r="F33" i="4"/>
  <c r="E33" i="4"/>
  <c r="Q32" i="4"/>
  <c r="P32" i="4"/>
  <c r="N32" i="4"/>
  <c r="K32" i="4"/>
  <c r="O32" i="4" s="1"/>
  <c r="E62" i="2" s="1"/>
  <c r="H32" i="4"/>
  <c r="I32" i="4" s="1"/>
  <c r="F32" i="4"/>
  <c r="E32" i="4"/>
  <c r="Q31" i="4"/>
  <c r="P31" i="4"/>
  <c r="O31" i="4"/>
  <c r="N31" i="4"/>
  <c r="K31" i="4"/>
  <c r="H31" i="4"/>
  <c r="I31" i="4" s="1"/>
  <c r="F31" i="4"/>
  <c r="E31" i="4"/>
  <c r="Q30" i="4"/>
  <c r="P30" i="4"/>
  <c r="O30" i="4"/>
  <c r="N30" i="4"/>
  <c r="K30" i="4"/>
  <c r="H30" i="4"/>
  <c r="I30" i="4" s="1"/>
  <c r="F30" i="4"/>
  <c r="E30" i="4"/>
  <c r="Q29" i="4"/>
  <c r="P29" i="4"/>
  <c r="O29" i="4"/>
  <c r="N29" i="4"/>
  <c r="K29" i="4"/>
  <c r="H29" i="4"/>
  <c r="I29" i="4" s="1"/>
  <c r="F29" i="4"/>
  <c r="E29" i="4"/>
  <c r="Q28" i="4"/>
  <c r="P28" i="4"/>
  <c r="N28" i="4"/>
  <c r="K28" i="4"/>
  <c r="O28" i="4" s="1"/>
  <c r="H28" i="4"/>
  <c r="I28" i="4" s="1"/>
  <c r="F28" i="4"/>
  <c r="E28" i="4"/>
  <c r="Q27" i="4"/>
  <c r="P27" i="4"/>
  <c r="O27" i="4"/>
  <c r="N27" i="4"/>
  <c r="K27" i="4"/>
  <c r="H27" i="4"/>
  <c r="I27" i="4" s="1"/>
  <c r="F27" i="4"/>
  <c r="E27" i="4"/>
  <c r="Q26" i="4"/>
  <c r="P26" i="4"/>
  <c r="O26" i="4"/>
  <c r="N26" i="4"/>
  <c r="K26" i="4"/>
  <c r="H26" i="4"/>
  <c r="I26" i="4" s="1"/>
  <c r="F26" i="4"/>
  <c r="E26" i="4"/>
  <c r="Q25" i="4"/>
  <c r="E56" i="2" s="1"/>
  <c r="P25" i="4"/>
  <c r="O25" i="4"/>
  <c r="N25" i="4"/>
  <c r="K25" i="4"/>
  <c r="H25" i="4"/>
  <c r="I25" i="4" s="1"/>
  <c r="F25" i="4"/>
  <c r="E25" i="4"/>
  <c r="Q24" i="4"/>
  <c r="C63" i="2" s="1"/>
  <c r="P24" i="4"/>
  <c r="N24" i="4"/>
  <c r="K24" i="4"/>
  <c r="O24" i="4" s="1"/>
  <c r="H24" i="4"/>
  <c r="I24" i="4" s="1"/>
  <c r="F24" i="4"/>
  <c r="E24" i="4"/>
  <c r="Q23" i="4"/>
  <c r="P23" i="4"/>
  <c r="O23" i="4"/>
  <c r="N23" i="4"/>
  <c r="K23" i="4"/>
  <c r="H23" i="4"/>
  <c r="I23" i="4" s="1"/>
  <c r="F23" i="4"/>
  <c r="E23" i="4"/>
  <c r="Q22" i="4"/>
  <c r="P22" i="4"/>
  <c r="O22" i="4"/>
  <c r="N22" i="4"/>
  <c r="K22" i="4"/>
  <c r="H22" i="4"/>
  <c r="I22" i="4" s="1"/>
  <c r="F22" i="4"/>
  <c r="E22" i="4"/>
  <c r="Q21" i="4"/>
  <c r="P21" i="4"/>
  <c r="O21" i="4"/>
  <c r="N21" i="4"/>
  <c r="K21" i="4"/>
  <c r="H21" i="4"/>
  <c r="I21" i="4" s="1"/>
  <c r="F21" i="4"/>
  <c r="E21" i="4"/>
  <c r="Q20" i="4"/>
  <c r="P20" i="4"/>
  <c r="N20" i="4"/>
  <c r="K20" i="4"/>
  <c r="O20" i="4" s="1"/>
  <c r="H20" i="4"/>
  <c r="I20" i="4" s="1"/>
  <c r="F20" i="4"/>
  <c r="E20" i="4"/>
  <c r="Q19" i="4"/>
  <c r="P19" i="4"/>
  <c r="O19" i="4"/>
  <c r="N19" i="4"/>
  <c r="K19" i="4"/>
  <c r="H19" i="4"/>
  <c r="I19" i="4" s="1"/>
  <c r="F19" i="4"/>
  <c r="E19" i="4"/>
  <c r="Q18" i="4"/>
  <c r="P18" i="4"/>
  <c r="O18" i="4"/>
  <c r="N18" i="4"/>
  <c r="K18" i="4"/>
  <c r="H18" i="4"/>
  <c r="I18" i="4" s="1"/>
  <c r="F18" i="4"/>
  <c r="E18" i="4"/>
  <c r="Q17" i="4"/>
  <c r="P17" i="4"/>
  <c r="O17" i="4"/>
  <c r="N17" i="4"/>
  <c r="K17" i="4"/>
  <c r="H17" i="4"/>
  <c r="I17" i="4" s="1"/>
  <c r="F17" i="4"/>
  <c r="E17" i="4"/>
  <c r="Q16" i="4"/>
  <c r="P16" i="4"/>
  <c r="N16" i="4"/>
  <c r="K16" i="4"/>
  <c r="O16" i="4" s="1"/>
  <c r="H16" i="4"/>
  <c r="I16" i="4" s="1"/>
  <c r="F16" i="4"/>
  <c r="E16" i="4"/>
  <c r="Q15" i="4"/>
  <c r="P15" i="4"/>
  <c r="O15" i="4"/>
  <c r="N15" i="4"/>
  <c r="K15" i="4"/>
  <c r="H15" i="4"/>
  <c r="I15" i="4" s="1"/>
  <c r="F15" i="4"/>
  <c r="E15" i="4"/>
  <c r="Q14" i="4"/>
  <c r="P14" i="4"/>
  <c r="O14" i="4"/>
  <c r="N14" i="4"/>
  <c r="K14" i="4"/>
  <c r="H14" i="4"/>
  <c r="I14" i="4" s="1"/>
  <c r="F14" i="4"/>
  <c r="E14" i="4"/>
  <c r="Q13" i="4"/>
  <c r="P13" i="4"/>
  <c r="O13" i="4"/>
  <c r="N13" i="4"/>
  <c r="K13" i="4"/>
  <c r="H13" i="4"/>
  <c r="I13" i="4" s="1"/>
  <c r="F13" i="4"/>
  <c r="E13" i="4"/>
  <c r="Q12" i="4"/>
  <c r="P12" i="4"/>
  <c r="N12" i="4"/>
  <c r="K12" i="4"/>
  <c r="O12" i="4" s="1"/>
  <c r="H12" i="4"/>
  <c r="I12" i="4" s="1"/>
  <c r="F12" i="4"/>
  <c r="E12" i="4"/>
  <c r="Q11" i="4"/>
  <c r="P11" i="4"/>
  <c r="O11" i="4"/>
  <c r="N11" i="4"/>
  <c r="K11" i="4"/>
  <c r="H11" i="4"/>
  <c r="I11" i="4" s="1"/>
  <c r="F11" i="4"/>
  <c r="E11" i="4"/>
  <c r="Q10" i="4"/>
  <c r="P10" i="4"/>
  <c r="O10" i="4"/>
  <c r="N10" i="4"/>
  <c r="K10" i="4"/>
  <c r="H10" i="4"/>
  <c r="I10" i="4" s="1"/>
  <c r="F10" i="4"/>
  <c r="E10" i="4"/>
  <c r="Q9" i="4"/>
  <c r="P9" i="4"/>
  <c r="O9" i="4"/>
  <c r="N9" i="4"/>
  <c r="K9" i="4"/>
  <c r="H9" i="4"/>
  <c r="I9" i="4" s="1"/>
  <c r="F9" i="4"/>
  <c r="E9" i="4"/>
  <c r="Q8" i="4"/>
  <c r="P8" i="4"/>
  <c r="N8" i="4"/>
  <c r="K8" i="4"/>
  <c r="O8" i="4" s="1"/>
  <c r="H8" i="4"/>
  <c r="I8" i="4" s="1"/>
  <c r="F8" i="4"/>
  <c r="E8" i="4"/>
  <c r="Q7" i="4"/>
  <c r="P7" i="4"/>
  <c r="O7" i="4"/>
  <c r="N7" i="4"/>
  <c r="K7" i="4"/>
  <c r="H7" i="4"/>
  <c r="I7" i="4" s="1"/>
  <c r="F7" i="4"/>
  <c r="E7" i="4"/>
  <c r="Q6" i="4"/>
  <c r="P6" i="4"/>
  <c r="O6" i="4"/>
  <c r="N6" i="4"/>
  <c r="K6" i="4"/>
  <c r="H6" i="4"/>
  <c r="I6" i="4" s="1"/>
  <c r="F6" i="4"/>
  <c r="E6" i="4"/>
  <c r="Q5" i="4"/>
  <c r="C59" i="2" s="1"/>
  <c r="P5" i="4"/>
  <c r="O5" i="4"/>
  <c r="N5" i="4"/>
  <c r="K5" i="4"/>
  <c r="H5" i="4"/>
  <c r="I5" i="4" s="1"/>
  <c r="F5" i="4"/>
  <c r="E5" i="4"/>
  <c r="Q4" i="4"/>
  <c r="P4" i="4"/>
  <c r="N4" i="4"/>
  <c r="K4" i="4"/>
  <c r="O4" i="4" s="1"/>
  <c r="H4" i="4"/>
  <c r="I4" i="4" s="1"/>
  <c r="F4" i="4"/>
  <c r="E4" i="4"/>
  <c r="Q3" i="4"/>
  <c r="P3" i="4"/>
  <c r="O3" i="4"/>
  <c r="N3" i="4"/>
  <c r="K3" i="4"/>
  <c r="H3" i="4"/>
  <c r="I3" i="4" s="1"/>
  <c r="F3" i="4"/>
  <c r="E3" i="4"/>
  <c r="Q2" i="4"/>
  <c r="B8" i="6" s="1"/>
  <c r="P2" i="4"/>
  <c r="O2" i="4"/>
  <c r="N2" i="4"/>
  <c r="K2" i="4"/>
  <c r="H2" i="4"/>
  <c r="I2" i="4" s="1"/>
  <c r="F2" i="4"/>
  <c r="E2" i="4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C41" i="3"/>
  <c r="B41" i="3"/>
  <c r="A41" i="3"/>
  <c r="B40" i="3"/>
  <c r="A40" i="3"/>
  <c r="B39" i="3"/>
  <c r="A39" i="3"/>
  <c r="E39" i="3" s="1"/>
  <c r="B38" i="3"/>
  <c r="A38" i="3"/>
  <c r="C37" i="3"/>
  <c r="B37" i="3"/>
  <c r="A37" i="3"/>
  <c r="C32" i="3"/>
  <c r="A32" i="3"/>
  <c r="A31" i="3"/>
  <c r="C30" i="3"/>
  <c r="A30" i="3"/>
  <c r="A29" i="3"/>
  <c r="C28" i="3"/>
  <c r="A28" i="3"/>
  <c r="A27" i="3"/>
  <c r="C26" i="3"/>
  <c r="A26" i="3"/>
  <c r="A25" i="3"/>
  <c r="C24" i="3"/>
  <c r="A24" i="3"/>
  <c r="A23" i="3"/>
  <c r="B6" i="3"/>
  <c r="B5" i="3"/>
  <c r="D46" i="3" s="1"/>
  <c r="B65" i="2"/>
  <c r="A65" i="2"/>
  <c r="B64" i="2"/>
  <c r="A64" i="2"/>
  <c r="B63" i="2"/>
  <c r="A63" i="2"/>
  <c r="B62" i="2"/>
  <c r="A62" i="2"/>
  <c r="B61" i="2"/>
  <c r="A61" i="2"/>
  <c r="C61" i="2" s="1"/>
  <c r="C60" i="2"/>
  <c r="B60" i="2"/>
  <c r="A60" i="2"/>
  <c r="B59" i="2"/>
  <c r="A59" i="2"/>
  <c r="B58" i="2"/>
  <c r="A58" i="2"/>
  <c r="C58" i="2" s="1"/>
  <c r="B57" i="2"/>
  <c r="A57" i="2"/>
  <c r="C56" i="2"/>
  <c r="B56" i="2"/>
  <c r="A56" i="2"/>
  <c r="D56" i="2" s="1"/>
  <c r="B55" i="2"/>
  <c r="A55" i="2"/>
  <c r="E55" i="2" s="1"/>
  <c r="B54" i="2"/>
  <c r="A54" i="2"/>
  <c r="H45" i="2"/>
  <c r="H44" i="2"/>
  <c r="B44" i="2"/>
  <c r="B45" i="2" s="1"/>
  <c r="A44" i="2"/>
  <c r="H43" i="2"/>
  <c r="H46" i="2" s="1"/>
  <c r="C43" i="2"/>
  <c r="A43" i="2"/>
  <c r="H5" i="2"/>
  <c r="F5" i="2"/>
  <c r="E5" i="2"/>
  <c r="A5" i="2"/>
  <c r="E43" i="3" l="1"/>
  <c r="I44" i="2"/>
  <c r="I45" i="2"/>
  <c r="I43" i="2"/>
  <c r="I46" i="2" s="1"/>
  <c r="E63" i="2"/>
  <c r="D62" i="2"/>
  <c r="E64" i="2"/>
  <c r="E57" i="2"/>
  <c r="D63" i="2"/>
  <c r="D43" i="2"/>
  <c r="B5" i="2"/>
  <c r="D61" i="2"/>
  <c r="A45" i="2"/>
  <c r="B46" i="2"/>
  <c r="D45" i="2"/>
  <c r="E45" i="2"/>
  <c r="C45" i="2"/>
  <c r="D54" i="2"/>
  <c r="D65" i="2"/>
  <c r="E58" i="2"/>
  <c r="D60" i="2"/>
  <c r="D55" i="2"/>
  <c r="C5" i="2"/>
  <c r="E43" i="2"/>
  <c r="E60" i="2"/>
  <c r="D58" i="2"/>
  <c r="E65" i="2"/>
  <c r="B15" i="3"/>
  <c r="B17" i="3" s="1"/>
  <c r="E33" i="3" s="1"/>
  <c r="B24" i="3"/>
  <c r="B26" i="3"/>
  <c r="B28" i="3"/>
  <c r="B30" i="3"/>
  <c r="B32" i="3"/>
  <c r="D39" i="3"/>
  <c r="C44" i="3"/>
  <c r="E46" i="3"/>
  <c r="N274" i="4"/>
  <c r="N281" i="4"/>
  <c r="D24" i="3"/>
  <c r="D26" i="3"/>
  <c r="D28" i="3"/>
  <c r="D30" i="3"/>
  <c r="D32" i="3"/>
  <c r="D37" i="3"/>
  <c r="C42" i="3"/>
  <c r="E44" i="3"/>
  <c r="N147" i="4"/>
  <c r="N164" i="4"/>
  <c r="N171" i="4"/>
  <c r="N188" i="4"/>
  <c r="N195" i="4"/>
  <c r="N212" i="4"/>
  <c r="N219" i="4"/>
  <c r="N236" i="4"/>
  <c r="N243" i="4"/>
  <c r="N260" i="4"/>
  <c r="N267" i="4"/>
  <c r="N284" i="4"/>
  <c r="N298" i="4"/>
  <c r="C54" i="2"/>
  <c r="E37" i="3"/>
  <c r="D42" i="3"/>
  <c r="C47" i="3"/>
  <c r="N229" i="4"/>
  <c r="N253" i="4"/>
  <c r="N277" i="4"/>
  <c r="C44" i="2"/>
  <c r="E54" i="2"/>
  <c r="D59" i="2"/>
  <c r="C64" i="2"/>
  <c r="D40" i="3"/>
  <c r="C45" i="3"/>
  <c r="E47" i="3"/>
  <c r="N146" i="4"/>
  <c r="N153" i="4"/>
  <c r="N170" i="4"/>
  <c r="N177" i="4"/>
  <c r="N194" i="4"/>
  <c r="B18" i="3" s="1"/>
  <c r="N201" i="4"/>
  <c r="N218" i="4"/>
  <c r="N225" i="4"/>
  <c r="N242" i="4"/>
  <c r="N249" i="4"/>
  <c r="N266" i="4"/>
  <c r="N273" i="4"/>
  <c r="B19" i="3"/>
  <c r="F26" i="3"/>
  <c r="E26" i="3" s="1"/>
  <c r="F28" i="3"/>
  <c r="E28" i="3" s="1"/>
  <c r="F32" i="3"/>
  <c r="E32" i="3" s="1"/>
  <c r="E42" i="3"/>
  <c r="D47" i="3"/>
  <c r="D45" i="3"/>
  <c r="N156" i="4"/>
  <c r="N163" i="4"/>
  <c r="N180" i="4"/>
  <c r="N187" i="4"/>
  <c r="N204" i="4"/>
  <c r="N211" i="4"/>
  <c r="N228" i="4"/>
  <c r="N235" i="4"/>
  <c r="N252" i="4"/>
  <c r="N259" i="4"/>
  <c r="N276" i="4"/>
  <c r="N283" i="4"/>
  <c r="F24" i="3"/>
  <c r="E24" i="3" s="1"/>
  <c r="F30" i="3"/>
  <c r="E30" i="3" s="1"/>
  <c r="C40" i="3"/>
  <c r="E59" i="2"/>
  <c r="D64" i="2"/>
  <c r="B9" i="3"/>
  <c r="B23" i="3"/>
  <c r="B25" i="3"/>
  <c r="B27" i="3"/>
  <c r="B29" i="3"/>
  <c r="B31" i="3"/>
  <c r="C38" i="3"/>
  <c r="C49" i="3" s="1"/>
  <c r="E40" i="3"/>
  <c r="E44" i="2"/>
  <c r="D57" i="2"/>
  <c r="C62" i="2"/>
  <c r="B10" i="3"/>
  <c r="C23" i="3"/>
  <c r="C25" i="3"/>
  <c r="C27" i="3"/>
  <c r="C29" i="3"/>
  <c r="C31" i="3"/>
  <c r="D38" i="3"/>
  <c r="C43" i="3"/>
  <c r="E45" i="3"/>
  <c r="N269" i="4"/>
  <c r="N293" i="4"/>
  <c r="B6" i="6"/>
  <c r="B13" i="6" s="1"/>
  <c r="D5" i="2" s="1"/>
  <c r="D44" i="2"/>
  <c r="C57" i="2"/>
  <c r="C55" i="2"/>
  <c r="B11" i="3"/>
  <c r="D23" i="3"/>
  <c r="D25" i="3"/>
  <c r="D27" i="3"/>
  <c r="D29" i="3"/>
  <c r="D31" i="3"/>
  <c r="E38" i="3"/>
  <c r="D43" i="3"/>
  <c r="C48" i="3"/>
  <c r="N152" i="4"/>
  <c r="N159" i="4"/>
  <c r="N176" i="4"/>
  <c r="N183" i="4"/>
  <c r="N200" i="4"/>
  <c r="B23" i="6"/>
  <c r="B22" i="6"/>
  <c r="B21" i="6"/>
  <c r="B20" i="6"/>
  <c r="B19" i="6"/>
  <c r="B24" i="6" s="1"/>
  <c r="B7" i="6"/>
  <c r="D48" i="3"/>
  <c r="N193" i="4"/>
  <c r="N210" i="4"/>
  <c r="N217" i="4"/>
  <c r="N234" i="4"/>
  <c r="N241" i="4"/>
  <c r="N258" i="4"/>
  <c r="N265" i="4"/>
  <c r="N282" i="4"/>
  <c r="N289" i="4"/>
  <c r="B13" i="3"/>
  <c r="F23" i="3"/>
  <c r="F25" i="3"/>
  <c r="E25" i="3" s="1"/>
  <c r="F27" i="3"/>
  <c r="E27" i="3" s="1"/>
  <c r="F29" i="3"/>
  <c r="E29" i="3" s="1"/>
  <c r="F31" i="3"/>
  <c r="E31" i="3" s="1"/>
  <c r="D41" i="3"/>
  <c r="C46" i="3"/>
  <c r="E48" i="3"/>
  <c r="B11" i="6"/>
  <c r="B10" i="6"/>
  <c r="B9" i="6"/>
  <c r="B25" i="6"/>
  <c r="B14" i="3"/>
  <c r="C39" i="3"/>
  <c r="E41" i="3"/>
  <c r="J49" i="5"/>
  <c r="L49" i="5" s="1"/>
  <c r="G5" i="2" s="1"/>
  <c r="J69" i="5"/>
  <c r="L69" i="5" s="1"/>
  <c r="J93" i="5"/>
  <c r="L93" i="5" s="1"/>
  <c r="J109" i="5"/>
  <c r="L109" i="5" s="1"/>
  <c r="J117" i="5"/>
  <c r="L117" i="5" s="1"/>
  <c r="F33" i="3" l="1"/>
  <c r="E23" i="3"/>
  <c r="D49" i="3"/>
  <c r="E49" i="3"/>
  <c r="D66" i="2"/>
  <c r="B12" i="6"/>
  <c r="B14" i="6" s="1"/>
  <c r="D33" i="3"/>
  <c r="E46" i="2"/>
  <c r="D46" i="2"/>
  <c r="C46" i="2"/>
  <c r="A46" i="2"/>
  <c r="B47" i="2"/>
  <c r="B33" i="3"/>
  <c r="F34" i="3" s="1"/>
  <c r="C66" i="2"/>
  <c r="C33" i="3"/>
  <c r="B12" i="3"/>
  <c r="E66" i="2"/>
  <c r="E49" i="2"/>
  <c r="B48" i="2" l="1"/>
  <c r="E47" i="2"/>
  <c r="D47" i="2"/>
  <c r="C47" i="2"/>
  <c r="A47" i="2"/>
  <c r="E48" i="2" l="1"/>
  <c r="D48" i="2"/>
  <c r="D49" i="2" s="1"/>
  <c r="C48" i="2"/>
  <c r="C49" i="2" s="1"/>
  <c r="A48" i="2"/>
</calcChain>
</file>

<file path=xl/sharedStrings.xml><?xml version="1.0" encoding="utf-8"?>
<sst xmlns="http://schemas.openxmlformats.org/spreadsheetml/2006/main" count="2493" uniqueCount="680">
  <si>
    <t>Logistics Shipment MIS &amp; Document Verification Tracker</t>
  </si>
  <si>
    <t>Excel project for an MIS Executive role. All names, clients, rates, dates and amounts are fictional sample data.</t>
  </si>
  <si>
    <t>Sheets in this workbook</t>
  </si>
  <si>
    <t>Sheet</t>
  </si>
  <si>
    <t>What it does</t>
  </si>
  <si>
    <t>Excel skills shown</t>
  </si>
  <si>
    <t>Dashboard</t>
  </si>
  <si>
    <t>KPI cards, 4 charts and the tables behind them. Updates automatically.</t>
  </si>
  <si>
    <t>COUNTIFS, SUMIFS, charts, TEXT, DATE</t>
  </si>
  <si>
    <t>MIS Report</t>
  </si>
  <si>
    <t>Choose Daily, Weekly or Monthly and a date; all numbers rebuild for that period.</t>
  </si>
  <si>
    <t>Dropdown, SUMIFS / COUNTIFS / AVERAGEIFS, date logic</t>
  </si>
  <si>
    <t>Shipment Data</t>
  </si>
  <si>
    <t>Main data entry sheet: one row per shipment, with auto lookups and a Data Check per row.</t>
  </si>
  <si>
    <t>VLOOKUP, INDEX-MATCH, IF, Data Validation, Conditional Formatting</t>
  </si>
  <si>
    <t>Doc Verification</t>
  </si>
  <si>
    <t>Tracker for client and candidate documents: status, remark, aging and completeness check.</t>
  </si>
  <si>
    <t>Dropdowns, IF, COUNTIF, aging with TODAY, Conditional Formatting</t>
  </si>
  <si>
    <t>Data Quality</t>
  </si>
  <si>
    <t>Counts every type of data error and shows accuracy % and error rate %.</t>
  </si>
  <si>
    <t>COUNTIF, accuracy KPI</t>
  </si>
  <si>
    <t>Masters</t>
  </si>
  <si>
    <t>Rate card, client list, dropdown lists and settings (SLA days).</t>
  </si>
  <si>
    <t>Lookup tables, named lists</t>
  </si>
  <si>
    <t>How to use</t>
  </si>
  <si>
    <t>1</t>
  </si>
  <si>
    <t>Add shipments on Shipment Data (blue columns only). Copy the grey formula cells down for new rows.</t>
  </si>
  <si>
    <t>2</t>
  </si>
  <si>
    <t>Check the Data Check column (Q). Filter for anything that is not OK and fix it at the source. Only OK rows enter reports.</t>
  </si>
  <si>
    <t>3</t>
  </si>
  <si>
    <t>On MIS Report, pick the Report Type and Report Date (yellow cells).</t>
  </si>
  <si>
    <t>4</t>
  </si>
  <si>
    <t>Update document Status on Doc Verification using the dropdown. Add a remark for every Discrepancy.</t>
  </si>
  <si>
    <t>5</t>
  </si>
  <si>
    <t>Open Dashboard for the overall picture.</t>
  </si>
  <si>
    <t>Colour legend</t>
  </si>
  <si>
    <t>Blue text</t>
  </si>
  <si>
    <t>Input cell. You type or edit these.</t>
  </si>
  <si>
    <t>Black text, grey fill</t>
  </si>
  <si>
    <t>Formula. Do not overwrite.</t>
  </si>
  <si>
    <t>Yellow fill</t>
  </si>
  <si>
    <t>Selector cell (report type / date).</t>
  </si>
  <si>
    <t>Red row</t>
  </si>
  <si>
    <t>Data Check found a problem in that row.</t>
  </si>
  <si>
    <t>Assumptions and notes</t>
  </si>
  <si>
    <t>Sample data</t>
  </si>
  <si>
    <t>300 fictional shipments (Apr-Sep 2026) and 120 fictional documents. Some errors were added on purpose (duplicate IDs, blanks, wrong dates, missing remarks) so the checks have something to catch.</t>
  </si>
  <si>
    <t>Rates and TAT</t>
  </si>
  <si>
    <t>Rate per kg and standard delivery days per route are made-up values on Masters. Promised Delivery = Ship Date + TAT. Freight = Weight x Rate.</t>
  </si>
  <si>
    <t>On-time rule</t>
  </si>
  <si>
    <t>A delivered shipment is On-Time if Actual Delivery &lt;= Promised Delivery.</t>
  </si>
  <si>
    <t>Verification SLA</t>
  </si>
  <si>
    <t>7 days (Masters B20). A Pending document older than this is Overdue.</t>
  </si>
  <si>
    <t>Lookups</t>
  </si>
  <si>
    <t>Origin, Destination and TAT use VLOOKUP; Rate uses INDEX-MATCH. XLOOKUP can replace either in Excel 2021 / 365.</t>
  </si>
  <si>
    <t>Formula range</t>
  </si>
  <si>
    <t>Report formulas read up to row 1000 (shipments) and row 500 (documents).</t>
  </si>
  <si>
    <t>Optional next steps (do these in Excel)</t>
  </si>
  <si>
    <t>PivotTable</t>
  </si>
  <si>
    <t>Select Shipment Data &gt; Insert &gt; PivotTable. Rows: Client, Columns: Month, Values: Sum of Freight Amount. Filter Data Check = OK.</t>
  </si>
  <si>
    <t>Power Query</t>
  </si>
  <si>
    <t>Data &gt; Get Data &gt; From File &gt; From Folder to combine monthly shipment files into one table.</t>
  </si>
  <si>
    <t>Logistics Shipment MIS &amp; Document Verification Dashboard</t>
  </si>
  <si>
    <t>Auto-updates from Shipment Data and Doc Verification. Shipment figures use only records that pass the Data Check.</t>
  </si>
  <si>
    <t>Total Shipments (clean)</t>
  </si>
  <si>
    <t>Total Freight (Rs)</t>
  </si>
  <si>
    <t>On-Time Delivery %</t>
  </si>
  <si>
    <t>Shipment Data Accuracy</t>
  </si>
  <si>
    <t>Docs Verified %</t>
  </si>
  <si>
    <t>Pending Docs</t>
  </si>
  <si>
    <t>Overdue Pending Docs</t>
  </si>
  <si>
    <t>Docs with Discrepancy</t>
  </si>
  <si>
    <t>Data behind the charts</t>
  </si>
  <si>
    <t>Monthly trend</t>
  </si>
  <si>
    <t>Document status</t>
  </si>
  <si>
    <t>Month</t>
  </si>
  <si>
    <t>Month Start</t>
  </si>
  <si>
    <t>Shipments</t>
  </si>
  <si>
    <t>Freight (Rs)</t>
  </si>
  <si>
    <t>On-Time %</t>
  </si>
  <si>
    <t>Status</t>
  </si>
  <si>
    <t>Count</t>
  </si>
  <si>
    <t>Share</t>
  </si>
  <si>
    <t>Verified</t>
  </si>
  <si>
    <t>Pending</t>
  </si>
  <si>
    <t>Discrepancy</t>
  </si>
  <si>
    <t>Total</t>
  </si>
  <si>
    <t>First month (blue) is editable; the other months follow it. Total should match Total Shipments (clean) if all data falls in these 6 months.</t>
  </si>
  <si>
    <t>Route-wise performance (clean records)</t>
  </si>
  <si>
    <t>Route Code</t>
  </si>
  <si>
    <t>Route</t>
  </si>
  <si>
    <t>MIS Report - Shipments (Daily / Weekly / Monthly)</t>
  </si>
  <si>
    <t>Pick a Report Type and a date in the yellow cells. Everything below updates. Only records with Data Check = OK are counted.</t>
  </si>
  <si>
    <t>Report Type</t>
  </si>
  <si>
    <t>Monthly</t>
  </si>
  <si>
    <t>Report Date</t>
  </si>
  <si>
    <t>Period Start</t>
  </si>
  <si>
    <t>Period End</t>
  </si>
  <si>
    <t>Key Metrics</t>
  </si>
  <si>
    <t>Value</t>
  </si>
  <si>
    <t>Total Shipments</t>
  </si>
  <si>
    <t>Total Weight (kg)</t>
  </si>
  <si>
    <t>Total Freight Revenue (Rs)</t>
  </si>
  <si>
    <t>Avg Freight per Shipment (Rs)</t>
  </si>
  <si>
    <t>Delivered</t>
  </si>
  <si>
    <t>In Transit</t>
  </si>
  <si>
    <t>On-Time Deliveries</t>
  </si>
  <si>
    <t>Late Deliveries</t>
  </si>
  <si>
    <t>Avg Delay of Late Deliveries (days)</t>
  </si>
  <si>
    <t>Records Excluded (data errors in period)</t>
  </si>
  <si>
    <t>Client</t>
  </si>
  <si>
    <t>Weight (kg)</t>
  </si>
  <si>
    <t>Check: client total should equal Total Shipments above (difference below should be 0).</t>
  </si>
  <si>
    <t>Shipment ID</t>
  </si>
  <si>
    <t>Ship Date</t>
  </si>
  <si>
    <t>Origin</t>
  </si>
  <si>
    <t>Destination</t>
  </si>
  <si>
    <t>Rate per kg (Rs)</t>
  </si>
  <si>
    <t>Freight Amount (Rs)</t>
  </si>
  <si>
    <t>Vehicle Type</t>
  </si>
  <si>
    <t>Promised Delivery</t>
  </si>
  <si>
    <t>Actual Delivery</t>
  </si>
  <si>
    <t>Delivery Status</t>
  </si>
  <si>
    <t>Delay Days</t>
  </si>
  <si>
    <t>On-Time?</t>
  </si>
  <si>
    <t>Data Check</t>
  </si>
  <si>
    <t>SHP-2026-0001</t>
  </si>
  <si>
    <t>Apex Electronics</t>
  </si>
  <si>
    <t>GZB-MRT</t>
  </si>
  <si>
    <t>Eicher 14ft</t>
  </si>
  <si>
    <t>SHP-2026-0002</t>
  </si>
  <si>
    <t>Shree Ganesh Traders</t>
  </si>
  <si>
    <t>DEL-AMD</t>
  </si>
  <si>
    <t>Tata Ace (Mini)</t>
  </si>
  <si>
    <t>SHP-2026-0003</t>
  </si>
  <si>
    <t>DEL-LKO</t>
  </si>
  <si>
    <t>Container 20ft</t>
  </si>
  <si>
    <t>SHP-2026-0004</t>
  </si>
  <si>
    <t>DEL-CCU</t>
  </si>
  <si>
    <t>SHP-2026-0005</t>
  </si>
  <si>
    <t>DEL-BOM</t>
  </si>
  <si>
    <t>SHP-2026-0006</t>
  </si>
  <si>
    <t>Bharat Auto Components</t>
  </si>
  <si>
    <t>DEL-KNP</t>
  </si>
  <si>
    <t>Tata 407</t>
  </si>
  <si>
    <t>SHP-2026-0007</t>
  </si>
  <si>
    <t>Sharma Agro Foods</t>
  </si>
  <si>
    <t>SHP-2026-0008</t>
  </si>
  <si>
    <t>SHP-2026-0009</t>
  </si>
  <si>
    <t>Krishna Steel Works</t>
  </si>
  <si>
    <t>SHP-2026-0010</t>
  </si>
  <si>
    <t>Metro Fabrics Pvt Ltd</t>
  </si>
  <si>
    <t>DEL-DED</t>
  </si>
  <si>
    <t>SHP-2026-0011</t>
  </si>
  <si>
    <t>DEL-BPL</t>
  </si>
  <si>
    <t>SHP-2026-0012</t>
  </si>
  <si>
    <t>Kailash Pharma</t>
  </si>
  <si>
    <t>Trailer 32ft</t>
  </si>
  <si>
    <t>SHP-2026-0013</t>
  </si>
  <si>
    <t>DEL-JPR</t>
  </si>
  <si>
    <t>SHP-2026-0014</t>
  </si>
  <si>
    <t>DEL-CHD</t>
  </si>
  <si>
    <t>SHP-2026-0015</t>
  </si>
  <si>
    <t>SHP-2026-0016</t>
  </si>
  <si>
    <t>SHP-2026-0017</t>
  </si>
  <si>
    <t>SHP-2026-0018</t>
  </si>
  <si>
    <t>SHP-2026-0019</t>
  </si>
  <si>
    <t>Sunrise Furniture</t>
  </si>
  <si>
    <t>SHP-2026-0020</t>
  </si>
  <si>
    <t>SHP-2026-0021</t>
  </si>
  <si>
    <t>SHP-2026-0022</t>
  </si>
  <si>
    <t>Nova Home Appliances</t>
  </si>
  <si>
    <t>SHP-2026-0023</t>
  </si>
  <si>
    <t>SHP-2026-0024</t>
  </si>
  <si>
    <t>SHP-2026-0025</t>
  </si>
  <si>
    <t>SHP-2026-0026</t>
  </si>
  <si>
    <t>SHP-2026-0027</t>
  </si>
  <si>
    <t>SHP-2026-0028</t>
  </si>
  <si>
    <t>SHP-2026-0029</t>
  </si>
  <si>
    <t>SHP-2026-0030</t>
  </si>
  <si>
    <t>Delta Packaging</t>
  </si>
  <si>
    <t>SHP-2026-0031</t>
  </si>
  <si>
    <t>SHP-2026-0032</t>
  </si>
  <si>
    <t>SHP-2026-0033</t>
  </si>
  <si>
    <t>DEL-AGR</t>
  </si>
  <si>
    <t>SHP-2026-0034</t>
  </si>
  <si>
    <t>SHP-2026-0035</t>
  </si>
  <si>
    <t>SHP-2026-0036</t>
  </si>
  <si>
    <t>SHP-2026-0037</t>
  </si>
  <si>
    <t>SHP-2026-0038</t>
  </si>
  <si>
    <t>SHP-2026-0039</t>
  </si>
  <si>
    <t>SHP-2026-0040</t>
  </si>
  <si>
    <t>SHP-2026-0041</t>
  </si>
  <si>
    <t>SHP-2026-0042</t>
  </si>
  <si>
    <t>SHP-2026-0043</t>
  </si>
  <si>
    <t>SHP-2026-0044</t>
  </si>
  <si>
    <t>SHP-2026-0045</t>
  </si>
  <si>
    <t>SHP-2026-0046</t>
  </si>
  <si>
    <t>SHP-2026-0047</t>
  </si>
  <si>
    <t>SHP-2026-0048</t>
  </si>
  <si>
    <t>SHP-2026-0049</t>
  </si>
  <si>
    <t>SHP-2026-0050</t>
  </si>
  <si>
    <t>SHP-2026-0051</t>
  </si>
  <si>
    <t>SHP-2026-0052</t>
  </si>
  <si>
    <t>SHP-2026-0053</t>
  </si>
  <si>
    <t>SHP-2026-0054</t>
  </si>
  <si>
    <t>SHP-2026-0055</t>
  </si>
  <si>
    <t>SHP-2026-0056</t>
  </si>
  <si>
    <t>SHP-2026-0057</t>
  </si>
  <si>
    <t>SHP-2026-0058</t>
  </si>
  <si>
    <t>SHP-2026-0059</t>
  </si>
  <si>
    <t>SHP-2026-0060</t>
  </si>
  <si>
    <t>SHP-2026-0061</t>
  </si>
  <si>
    <t>SHP-2026-0062</t>
  </si>
  <si>
    <t>SHP-2026-0063</t>
  </si>
  <si>
    <t>SHP-2026-0064</t>
  </si>
  <si>
    <t>SHP-2026-0065</t>
  </si>
  <si>
    <t>SHP-2026-0066</t>
  </si>
  <si>
    <t>SHP-2026-0067</t>
  </si>
  <si>
    <t>SHP-2026-0068</t>
  </si>
  <si>
    <t>DEL-IDR</t>
  </si>
  <si>
    <t>SHP-2026-0069</t>
  </si>
  <si>
    <t>SHP-2026-0070</t>
  </si>
  <si>
    <t>SHP-2026-0071</t>
  </si>
  <si>
    <t>SHP-2026-0072</t>
  </si>
  <si>
    <t>SHP-2026-0073</t>
  </si>
  <si>
    <t>SHP-2026-0074</t>
  </si>
  <si>
    <t>SHP-2026-0075</t>
  </si>
  <si>
    <t>SHP-2026-0076</t>
  </si>
  <si>
    <t>SHP-2026-0077</t>
  </si>
  <si>
    <t>SHP-2026-0078</t>
  </si>
  <si>
    <t>SHP-2026-0079</t>
  </si>
  <si>
    <t>SHP-2026-0080</t>
  </si>
  <si>
    <t>SHP-2026-0081</t>
  </si>
  <si>
    <t>SHP-2026-0082</t>
  </si>
  <si>
    <t>SHP-2026-0083</t>
  </si>
  <si>
    <t>SHP-2026-0084</t>
  </si>
  <si>
    <t>SHP-2026-0085</t>
  </si>
  <si>
    <t>SHP-2026-0086</t>
  </si>
  <si>
    <t>SHP-2026-0088</t>
  </si>
  <si>
    <t>SHP-2026-0261</t>
  </si>
  <si>
    <t>SHP-2026-0090</t>
  </si>
  <si>
    <t>SHP-2026-0091</t>
  </si>
  <si>
    <t>SHP-2026-0092</t>
  </si>
  <si>
    <t>SHP-2026-0093</t>
  </si>
  <si>
    <t>SHP-2026-0094</t>
  </si>
  <si>
    <t>SHP-2026-0095</t>
  </si>
  <si>
    <t>SHP-2026-0096</t>
  </si>
  <si>
    <t>SHP-2026-0097</t>
  </si>
  <si>
    <t>SHP-2026-0098</t>
  </si>
  <si>
    <t>SHP-2026-0099</t>
  </si>
  <si>
    <t>SHP-2026-0100</t>
  </si>
  <si>
    <t>SHP-2026-0101</t>
  </si>
  <si>
    <t>SHP-2026-0102</t>
  </si>
  <si>
    <t>SHP-2026-0103</t>
  </si>
  <si>
    <t>SHP-2026-0104</t>
  </si>
  <si>
    <t>SHP-2026-0106</t>
  </si>
  <si>
    <t>SHP-2026-0107</t>
  </si>
  <si>
    <t>SHP-2026-0108</t>
  </si>
  <si>
    <t>SHP-2026-0109</t>
  </si>
  <si>
    <t>SHP-2026-0110</t>
  </si>
  <si>
    <t>SHP-2026-0111</t>
  </si>
  <si>
    <t>SHP-2026-0112</t>
  </si>
  <si>
    <t>SHP-2026-0113</t>
  </si>
  <si>
    <t>SHP-2026-0114</t>
  </si>
  <si>
    <t>SHP-2026-0115</t>
  </si>
  <si>
    <t>SHP-2026-0116</t>
  </si>
  <si>
    <t>SHP-2026-0117</t>
  </si>
  <si>
    <t>SHP-2026-0118</t>
  </si>
  <si>
    <t>SHP-2026-0119</t>
  </si>
  <si>
    <t>SHP-2026-0120</t>
  </si>
  <si>
    <t>SHP-2026-0121</t>
  </si>
  <si>
    <t>SHP-2026-0122</t>
  </si>
  <si>
    <t>SHP-2026-0123</t>
  </si>
  <si>
    <t>SHP-2026-0124</t>
  </si>
  <si>
    <t>SHP-2026-0125</t>
  </si>
  <si>
    <t>SHP-2026-0126</t>
  </si>
  <si>
    <t>SHP-2026-0127</t>
  </si>
  <si>
    <t>SHP-2026-0128</t>
  </si>
  <si>
    <t>SHP-2026-0129</t>
  </si>
  <si>
    <t>SHP-2026-0130</t>
  </si>
  <si>
    <t>SHP-2026-0131</t>
  </si>
  <si>
    <t>SHP-2026-0132</t>
  </si>
  <si>
    <t>SHP-2026-0133</t>
  </si>
  <si>
    <t>SHP-2026-0134</t>
  </si>
  <si>
    <t>SHP-2026-0135</t>
  </si>
  <si>
    <t>SHP-2026-0136</t>
  </si>
  <si>
    <t>SHP-2026-0137</t>
  </si>
  <si>
    <t>SHP-2026-0138</t>
  </si>
  <si>
    <t>SHP-2026-0139</t>
  </si>
  <si>
    <t>SHP-2026-0140</t>
  </si>
  <si>
    <t>SHP-2026-0141</t>
  </si>
  <si>
    <t>SHP-2026-0142</t>
  </si>
  <si>
    <t>SHP-2026-0143</t>
  </si>
  <si>
    <t>SHP-2026-0144</t>
  </si>
  <si>
    <t>SHP-2026-0145</t>
  </si>
  <si>
    <t>SHP-2026-0146</t>
  </si>
  <si>
    <t>SHP-2026-0147</t>
  </si>
  <si>
    <t>SHP-2026-0148</t>
  </si>
  <si>
    <t>SHP-2026-0149</t>
  </si>
  <si>
    <t>SHP-2026-0150</t>
  </si>
  <si>
    <t>SHP-2026-0151</t>
  </si>
  <si>
    <t>SHP-2026-0152</t>
  </si>
  <si>
    <t>SHP-2026-0153</t>
  </si>
  <si>
    <t>SHP-2026-0154</t>
  </si>
  <si>
    <t>SHP-2026-0155</t>
  </si>
  <si>
    <t>SHP-2026-0156</t>
  </si>
  <si>
    <t>SHP-2026-0157</t>
  </si>
  <si>
    <t>SHP-2026-0158</t>
  </si>
  <si>
    <t>SHP-2026-0159</t>
  </si>
  <si>
    <t>SHP-2026-0160</t>
  </si>
  <si>
    <t>SHP-2026-0161</t>
  </si>
  <si>
    <t>SHP-2026-0162</t>
  </si>
  <si>
    <t>SHP-2026-0163</t>
  </si>
  <si>
    <t>SHP-2026-0164</t>
  </si>
  <si>
    <t>SHP-2026-0165</t>
  </si>
  <si>
    <t>SHP-2026-0166</t>
  </si>
  <si>
    <t>SHP-2026-0167</t>
  </si>
  <si>
    <t>SHP-2026-0168</t>
  </si>
  <si>
    <t>SHP-2026-0169</t>
  </si>
  <si>
    <t>SHP-2026-0170</t>
  </si>
  <si>
    <t>SHP-2026-0171</t>
  </si>
  <si>
    <t>SHP-2026-0172</t>
  </si>
  <si>
    <t>SHP-2026-0173</t>
  </si>
  <si>
    <t>SHP-2026-0174</t>
  </si>
  <si>
    <t>SHP-2026-0175</t>
  </si>
  <si>
    <t>SHP-2026-0176</t>
  </si>
  <si>
    <t>SHP-2026-0177</t>
  </si>
  <si>
    <t>SHP-2026-0178</t>
  </si>
  <si>
    <t>SHP-2026-0179</t>
  </si>
  <si>
    <t>SHP-2026-0180</t>
  </si>
  <si>
    <t>SHP-2026-0181</t>
  </si>
  <si>
    <t>SHP-2026-0182</t>
  </si>
  <si>
    <t>SHP-2026-0183</t>
  </si>
  <si>
    <t>SHP-2026-0184</t>
  </si>
  <si>
    <t>SHP-2026-0185</t>
  </si>
  <si>
    <t>SHP-2026-0186</t>
  </si>
  <si>
    <t>SHP-2026-0187</t>
  </si>
  <si>
    <t>SHP-2026-0188</t>
  </si>
  <si>
    <t>SHP-2026-0189</t>
  </si>
  <si>
    <t>SHP-2026-0190</t>
  </si>
  <si>
    <t>SHP-2026-0191</t>
  </si>
  <si>
    <t>SHP-2026-0192</t>
  </si>
  <si>
    <t>SHP-2026-0193</t>
  </si>
  <si>
    <t>SHP-2026-0194</t>
  </si>
  <si>
    <t>SHP-2026-0195</t>
  </si>
  <si>
    <t>SHP-2026-0196</t>
  </si>
  <si>
    <t>SHP-2026-0197</t>
  </si>
  <si>
    <t>SHP-2026-0198</t>
  </si>
  <si>
    <t>SHP-2026-0199</t>
  </si>
  <si>
    <t>SHP-2026-0200</t>
  </si>
  <si>
    <t>SHP-2026-0201</t>
  </si>
  <si>
    <t>SHP-2026-0202</t>
  </si>
  <si>
    <t>SHP-2026-0203</t>
  </si>
  <si>
    <t>SHP-2026-0204</t>
  </si>
  <si>
    <t>SHP-2026-0205</t>
  </si>
  <si>
    <t>SHP-2026-0206</t>
  </si>
  <si>
    <t>SHP-2026-0207</t>
  </si>
  <si>
    <t>SHP-2026-0208</t>
  </si>
  <si>
    <t>SHP-2026-0209</t>
  </si>
  <si>
    <t>SHP-2026-0210</t>
  </si>
  <si>
    <t>SHP-2026-0211</t>
  </si>
  <si>
    <t>SHP-2026-0212</t>
  </si>
  <si>
    <t>SHP-2026-0213</t>
  </si>
  <si>
    <t>SHP-2026-0214</t>
  </si>
  <si>
    <t>SHP-2026-0215</t>
  </si>
  <si>
    <t>SHP-2026-0216</t>
  </si>
  <si>
    <t>SHP-2026-0217</t>
  </si>
  <si>
    <t>SHP-2026-0218</t>
  </si>
  <si>
    <t>SHP-2026-0219</t>
  </si>
  <si>
    <t>SHP-2026-0220</t>
  </si>
  <si>
    <t>SHP-2026-0221</t>
  </si>
  <si>
    <t>SHP-2026-0222</t>
  </si>
  <si>
    <t>SHP-2026-0223</t>
  </si>
  <si>
    <t>SHP-2026-0224</t>
  </si>
  <si>
    <t>SHP-2026-0225</t>
  </si>
  <si>
    <t>SHP-2026-0226</t>
  </si>
  <si>
    <t>SHP-2026-0227</t>
  </si>
  <si>
    <t>SHP-2026-0228</t>
  </si>
  <si>
    <t>SHP-2026-0229</t>
  </si>
  <si>
    <t>SHP-2026-0230</t>
  </si>
  <si>
    <t>SHP-2026-0231</t>
  </si>
  <si>
    <t>SHP-2026-0232</t>
  </si>
  <si>
    <t>SHP-2026-0233</t>
  </si>
  <si>
    <t>SHP-2026-0234</t>
  </si>
  <si>
    <t>SHP-2026-0235</t>
  </si>
  <si>
    <t>SHP-2026-0236</t>
  </si>
  <si>
    <t>SHP-2026-0237</t>
  </si>
  <si>
    <t>SHP-2026-0238</t>
  </si>
  <si>
    <t>SHP-2026-0239</t>
  </si>
  <si>
    <t>SHP-2026-0240</t>
  </si>
  <si>
    <t>SHP-2026-0241</t>
  </si>
  <si>
    <t>SHP-2026-0242</t>
  </si>
  <si>
    <t>SHP-2026-0243</t>
  </si>
  <si>
    <t>SHP-2026-0244</t>
  </si>
  <si>
    <t>SHP-2026-0245</t>
  </si>
  <si>
    <t>SHP-2026-0246</t>
  </si>
  <si>
    <t>SHP-2026-0247</t>
  </si>
  <si>
    <t>SHP-2026-0248</t>
  </si>
  <si>
    <t>SHP-2026-0249</t>
  </si>
  <si>
    <t>SHP-2026-0250</t>
  </si>
  <si>
    <t>SHP-2026-0251</t>
  </si>
  <si>
    <t>SHP-2026-0252</t>
  </si>
  <si>
    <t>SHP-2026-0253</t>
  </si>
  <si>
    <t>SHP-2026-0254</t>
  </si>
  <si>
    <t>SHP-2026-0255</t>
  </si>
  <si>
    <t>SHP-2026-0256</t>
  </si>
  <si>
    <t>SHP-2026-0257</t>
  </si>
  <si>
    <t>SHP-2026-0258</t>
  </si>
  <si>
    <t>SHP-2026-0259</t>
  </si>
  <si>
    <t>SHP-2026-0260</t>
  </si>
  <si>
    <t>SHP-2026-0262</t>
  </si>
  <si>
    <t>SHP-2026-0263</t>
  </si>
  <si>
    <t>SHP-2026-0264</t>
  </si>
  <si>
    <t>SHP-2026-0265</t>
  </si>
  <si>
    <t>SHP-2026-0266</t>
  </si>
  <si>
    <t>SHP-2026-0267</t>
  </si>
  <si>
    <t>SHP-2026-0268</t>
  </si>
  <si>
    <t>SHP-2026-0269</t>
  </si>
  <si>
    <t>SHP-2026-0270</t>
  </si>
  <si>
    <t>SHP-2026-0271</t>
  </si>
  <si>
    <t>SHP-2026-0272</t>
  </si>
  <si>
    <t>SHP-2026-0273</t>
  </si>
  <si>
    <t>SHP-2026-0274</t>
  </si>
  <si>
    <t>SHP-2026-0275</t>
  </si>
  <si>
    <t>SHP-2026-0276</t>
  </si>
  <si>
    <t>SHP-2026-0277</t>
  </si>
  <si>
    <t>SHP-2026-0278</t>
  </si>
  <si>
    <t>SHP-2026-0279</t>
  </si>
  <si>
    <t>SHP-2026-0280</t>
  </si>
  <si>
    <t>SHP-2026-0281</t>
  </si>
  <si>
    <t>SHP-2026-0282</t>
  </si>
  <si>
    <t>SHP-2026-0283</t>
  </si>
  <si>
    <t>SHP-2026-0284</t>
  </si>
  <si>
    <t>SHP-2026-0285</t>
  </si>
  <si>
    <t>SHP-2026-0286</t>
  </si>
  <si>
    <t>SHP-2026-0287</t>
  </si>
  <si>
    <t>SHP-2026-0288</t>
  </si>
  <si>
    <t>SHP-2026-0289</t>
  </si>
  <si>
    <t>SHP-2026-0290</t>
  </si>
  <si>
    <t>SHP-2026-0291</t>
  </si>
  <si>
    <t>SHP-2026-0292</t>
  </si>
  <si>
    <t>SHP-2026-0293</t>
  </si>
  <si>
    <t>SHP-2026-0294</t>
  </si>
  <si>
    <t>SHP-2026-0295</t>
  </si>
  <si>
    <t>SHP-2026-0296</t>
  </si>
  <si>
    <t>SHP-2026-0297</t>
  </si>
  <si>
    <t>SHP-2026-0298</t>
  </si>
  <si>
    <t>SHP-2026-0299</t>
  </si>
  <si>
    <t>SHP-2026-0300</t>
  </si>
  <si>
    <t>Doc Ref No</t>
  </si>
  <si>
    <t>Entity Type</t>
  </si>
  <si>
    <t>Client / Candidate Name</t>
  </si>
  <si>
    <t>Document Type</t>
  </si>
  <si>
    <t>Received Date</t>
  </si>
  <si>
    <t>Verified By</t>
  </si>
  <si>
    <t>Discrepancy Remark</t>
  </si>
  <si>
    <t>Verified Date</t>
  </si>
  <si>
    <t>Days Pending</t>
  </si>
  <si>
    <t>Aging Flag</t>
  </si>
  <si>
    <t>DOC-0001</t>
  </si>
  <si>
    <t>Candidate</t>
  </si>
  <si>
    <t>Tarun Tiwari</t>
  </si>
  <si>
    <t>Education Certificate</t>
  </si>
  <si>
    <t>Priya</t>
  </si>
  <si>
    <t>DOC-0002</t>
  </si>
  <si>
    <t>Nisha Sharma</t>
  </si>
  <si>
    <t>Address Proof</t>
  </si>
  <si>
    <t>Amit</t>
  </si>
  <si>
    <t>Name mismatch</t>
  </si>
  <si>
    <t>DOC-0003</t>
  </si>
  <si>
    <t>Pooja Kumar</t>
  </si>
  <si>
    <t>Aadhaar Card</t>
  </si>
  <si>
    <t>DOC-0004</t>
  </si>
  <si>
    <t>Experience Letter</t>
  </si>
  <si>
    <t>Rahul</t>
  </si>
  <si>
    <t>DOC-0005</t>
  </si>
  <si>
    <t>Service Agreement</t>
  </si>
  <si>
    <t>DOC-0006</t>
  </si>
  <si>
    <t>Anjali Sharma</t>
  </si>
  <si>
    <t>DOC-0007</t>
  </si>
  <si>
    <t>DOC-0008</t>
  </si>
  <si>
    <t>DOC-0009</t>
  </si>
  <si>
    <t>Bank Details</t>
  </si>
  <si>
    <t>DOC-0010</t>
  </si>
  <si>
    <t>Karan Verma</t>
  </si>
  <si>
    <t>DOC-0011</t>
  </si>
  <si>
    <t>Isha Singh</t>
  </si>
  <si>
    <t>DOC-0012</t>
  </si>
  <si>
    <t>DOC-0013</t>
  </si>
  <si>
    <t>DOC-0014</t>
  </si>
  <si>
    <t>GST Certificate</t>
  </si>
  <si>
    <t>DOC-0015</t>
  </si>
  <si>
    <t>DOC-0016</t>
  </si>
  <si>
    <t>Sneha Singh</t>
  </si>
  <si>
    <t>DOC-0017</t>
  </si>
  <si>
    <t>DOC-0018</t>
  </si>
  <si>
    <t>Aman Pandey</t>
  </si>
  <si>
    <t>DOC-0019</t>
  </si>
  <si>
    <t>DOC-0020</t>
  </si>
  <si>
    <t>Divya Tiwari</t>
  </si>
  <si>
    <t>Unclear scan</t>
  </si>
  <si>
    <t>DOC-0021</t>
  </si>
  <si>
    <t>Rohit Pandey</t>
  </si>
  <si>
    <t>PAN Card</t>
  </si>
  <si>
    <t>DOC-0022</t>
  </si>
  <si>
    <t>DOC-0023</t>
  </si>
  <si>
    <t>Gaurav Sharma</t>
  </si>
  <si>
    <t>DOC-0024</t>
  </si>
  <si>
    <t>DOC-0025</t>
  </si>
  <si>
    <t>DOC-0026</t>
  </si>
  <si>
    <t>Ritu Tiwari</t>
  </si>
  <si>
    <t>DOC-0027</t>
  </si>
  <si>
    <t>Simran Yadav</t>
  </si>
  <si>
    <t>DOC-0028</t>
  </si>
  <si>
    <t>Kavya Mishra</t>
  </si>
  <si>
    <t>DOC-0029</t>
  </si>
  <si>
    <t>DOC-0030</t>
  </si>
  <si>
    <t>DOC-0031</t>
  </si>
  <si>
    <t>DOC-0032</t>
  </si>
  <si>
    <t>DOC-0033</t>
  </si>
  <si>
    <t>DOC-0034</t>
  </si>
  <si>
    <t>DOC-0035</t>
  </si>
  <si>
    <t>DOC-0036</t>
  </si>
  <si>
    <t>DOC-0037</t>
  </si>
  <si>
    <t>DOC-0038</t>
  </si>
  <si>
    <t>Deepak Kumar</t>
  </si>
  <si>
    <t>DOC-0039</t>
  </si>
  <si>
    <t>Manish Joshi</t>
  </si>
  <si>
    <t>DOC-0040</t>
  </si>
  <si>
    <t>DOC-0041</t>
  </si>
  <si>
    <t>DOC-0042</t>
  </si>
  <si>
    <t>DOC-0043</t>
  </si>
  <si>
    <t>DOC-0044</t>
  </si>
  <si>
    <t>DOC-0045</t>
  </si>
  <si>
    <t>DOC-0046</t>
  </si>
  <si>
    <t>DOC-0047</t>
  </si>
  <si>
    <t>DOC-0048</t>
  </si>
  <si>
    <t>DOC-0049</t>
  </si>
  <si>
    <t>Neha Pandey</t>
  </si>
  <si>
    <t>DOC-0050</t>
  </si>
  <si>
    <t>DOC-0051</t>
  </si>
  <si>
    <t>DOC-0052</t>
  </si>
  <si>
    <t>DOC-0053</t>
  </si>
  <si>
    <t>Vikas Mishra</t>
  </si>
  <si>
    <t>DOC-0054</t>
  </si>
  <si>
    <t>DOC-0055</t>
  </si>
  <si>
    <t>DOC-0056</t>
  </si>
  <si>
    <t>DOC-0057</t>
  </si>
  <si>
    <t>DOC-0058</t>
  </si>
  <si>
    <t>DOC-0059</t>
  </si>
  <si>
    <t>DOC-0060</t>
  </si>
  <si>
    <t>DOC-0061</t>
  </si>
  <si>
    <t>DOC-0062</t>
  </si>
  <si>
    <t>DOC-0063</t>
  </si>
  <si>
    <t>DOC-0065</t>
  </si>
  <si>
    <t>Arjun Verma</t>
  </si>
  <si>
    <t>DOC-0066</t>
  </si>
  <si>
    <t>DOC-0067</t>
  </si>
  <si>
    <t>DOC-0068</t>
  </si>
  <si>
    <t>DOC-0069</t>
  </si>
  <si>
    <t>DOC-0070</t>
  </si>
  <si>
    <t>DOC-0071</t>
  </si>
  <si>
    <t>DOC-0072</t>
  </si>
  <si>
    <t>DOC-0073</t>
  </si>
  <si>
    <t>DOC-0074</t>
  </si>
  <si>
    <t>Sahil Tiwari</t>
  </si>
  <si>
    <t>DOC-0075</t>
  </si>
  <si>
    <t>DOC-0076</t>
  </si>
  <si>
    <t>Details incomplete</t>
  </si>
  <si>
    <t>DOC-0077</t>
  </si>
  <si>
    <t>DOC-0078</t>
  </si>
  <si>
    <t>DOC-0079</t>
  </si>
  <si>
    <t>DOC-0080</t>
  </si>
  <si>
    <t>DOC-0081</t>
  </si>
  <si>
    <t>DOC-0082</t>
  </si>
  <si>
    <t>DOC-0083</t>
  </si>
  <si>
    <t>DOC-0084</t>
  </si>
  <si>
    <t>DOC-0085</t>
  </si>
  <si>
    <t>DOC-0086</t>
  </si>
  <si>
    <t>DOC-0087</t>
  </si>
  <si>
    <t>DOC-0088</t>
  </si>
  <si>
    <t>DOC-0089</t>
  </si>
  <si>
    <t>DOC-0090</t>
  </si>
  <si>
    <t>DOC-0091</t>
  </si>
  <si>
    <t>DOC-0092</t>
  </si>
  <si>
    <t>DOC-0093</t>
  </si>
  <si>
    <t>DOC-0094</t>
  </si>
  <si>
    <t>DOC-0095</t>
  </si>
  <si>
    <t>DOC-0096</t>
  </si>
  <si>
    <t>DOC-0097</t>
  </si>
  <si>
    <t>DOC-0098</t>
  </si>
  <si>
    <t>DOC-0099</t>
  </si>
  <si>
    <t>DOC-0100</t>
  </si>
  <si>
    <t>DOC-0101</t>
  </si>
  <si>
    <t>DOC-0102</t>
  </si>
  <si>
    <t>DOC-0103</t>
  </si>
  <si>
    <t>DOC-0104</t>
  </si>
  <si>
    <t>DOC-0105</t>
  </si>
  <si>
    <t>DOC-0106</t>
  </si>
  <si>
    <t>DOC-0107</t>
  </si>
  <si>
    <t>DOC-0108</t>
  </si>
  <si>
    <t>DOC-0109</t>
  </si>
  <si>
    <t>DOC-0110</t>
  </si>
  <si>
    <t>DOC-0111</t>
  </si>
  <si>
    <t>DOC-0112</t>
  </si>
  <si>
    <t>DOC-0113</t>
  </si>
  <si>
    <t>DOC-0114</t>
  </si>
  <si>
    <t>DOC-0115</t>
  </si>
  <si>
    <t>DOC-0116</t>
  </si>
  <si>
    <t>DOC-0117</t>
  </si>
  <si>
    <t>DOC-0118</t>
  </si>
  <si>
    <t>DOC-0119</t>
  </si>
  <si>
    <t>DOC-0120</t>
  </si>
  <si>
    <t>Data Quality Check</t>
  </si>
  <si>
    <t>Counts come from the Data Check columns (Shipment Data col Q, Doc Verification col K). Filter those columns to find and fix the rows.</t>
  </si>
  <si>
    <t>Shipment Data checks</t>
  </si>
  <si>
    <t>What it means / how to fix</t>
  </si>
  <si>
    <t>Total Records</t>
  </si>
  <si>
    <t>All shipment rows entered.</t>
  </si>
  <si>
    <t>Clean Records (OK)</t>
  </si>
  <si>
    <t>Passed every check. Only these rows feed the MIS Report and Dashboard.</t>
  </si>
  <si>
    <t>Duplicate Shipment ID</t>
  </si>
  <si>
    <t>Same Shipment ID appears more than once (both rows flagged). Delete the repeat or correct the ID.</t>
  </si>
  <si>
    <t>Missing Field</t>
  </si>
  <si>
    <t>ID, date, client, route or weight is blank. Fill it from the source document.</t>
  </si>
  <si>
    <t>Invalid Weight</t>
  </si>
  <si>
    <t>Weight is zero or negative. Re-check the weighment slip.</t>
  </si>
  <si>
    <t>Delivery Before Ship Date</t>
  </si>
  <si>
    <t>Actual delivery date is earlier than the ship date. One of the dates is wrong.</t>
  </si>
  <si>
    <t>Delivered But No Date</t>
  </si>
  <si>
    <t>Status is Delivered but Actual Delivery is blank. Add the POD date.</t>
  </si>
  <si>
    <t>Total Issues</t>
  </si>
  <si>
    <t>Rows that need correction.</t>
  </si>
  <si>
    <t>Data Accuracy %</t>
  </si>
  <si>
    <t>Clean records / total records. This is the accuracy KPI.</t>
  </si>
  <si>
    <t>Error Rate %</t>
  </si>
  <si>
    <t>Issues / total records. Goal: reduce this every week.</t>
  </si>
  <si>
    <t>Document checks</t>
  </si>
  <si>
    <t>Total Documents</t>
  </si>
  <si>
    <t>All document rows entered.</t>
  </si>
  <si>
    <t>Passed every check.</t>
  </si>
  <si>
    <t>Duplicate Doc Ref</t>
  </si>
  <si>
    <t>Same Doc Ref No used twice (both rows flagged).</t>
  </si>
  <si>
    <t>Missing Info</t>
  </si>
  <si>
    <t>Name, document type, received date or status is blank.</t>
  </si>
  <si>
    <t>Remark Needed</t>
  </si>
  <si>
    <t>Status is Discrepancy but no remark written. Add what is wrong.</t>
  </si>
  <si>
    <t>Verified Date Needed</t>
  </si>
  <si>
    <t>Status is Verified but no verified date. Add it.</t>
  </si>
  <si>
    <t>Clean records / total documents.</t>
  </si>
  <si>
    <t>Masters - Lists, Rates &amp; Settings</t>
  </si>
  <si>
    <t>Fictional sample values. Edit the blue cells; dropdowns in other sheets read from these lists.</t>
  </si>
  <si>
    <t>Route Master (rate &amp; standard delivery time)</t>
  </si>
  <si>
    <t>Standard TAT (days)</t>
  </si>
  <si>
    <t>Client List</t>
  </si>
  <si>
    <t>Doc Status</t>
  </si>
  <si>
    <t>Delhi</t>
  </si>
  <si>
    <t>Jaipur</t>
  </si>
  <si>
    <t>Daily</t>
  </si>
  <si>
    <t>Lucknow</t>
  </si>
  <si>
    <t>Weekly</t>
  </si>
  <si>
    <t>Document expired</t>
  </si>
  <si>
    <t>Chandigarh</t>
  </si>
  <si>
    <t>Ahmedabad</t>
  </si>
  <si>
    <t>Mumbai</t>
  </si>
  <si>
    <t>Signature missing</t>
  </si>
  <si>
    <t>Kolkata</t>
  </si>
  <si>
    <t>Kanpur</t>
  </si>
  <si>
    <t>Agra</t>
  </si>
  <si>
    <t>Ghaziabad</t>
  </si>
  <si>
    <t>Meerut</t>
  </si>
  <si>
    <t>Dehradun</t>
  </si>
  <si>
    <t>Bhopal</t>
  </si>
  <si>
    <t>Indore</t>
  </si>
  <si>
    <t>Settings</t>
  </si>
  <si>
    <t>Verification SLA (days)</t>
  </si>
  <si>
    <t>Pending documents older than this are flagged 'Overdue'.</t>
  </si>
  <si>
    <t>Report As-of Date</t>
  </si>
  <si>
    <t>Used for 'Days Pending'. Overwrite with a fixed date to freeze the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</si>
</sst>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s &quot;#,##0"/>
    <numFmt numFmtId="165" formatCode="0.0%"/>
    <numFmt numFmtId="166" formatCode="dd\-mmm\-yyyy"/>
    <numFmt numFmtId="167" formatCode="0.0"/>
    <numFmt numFmtId="168" formatCode="mmm\-yyyy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/>
    <xf numFmtId="166" fontId="7" fillId="0" borderId="1" xfId="0" applyNumberFormat="1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165" fontId="4" fillId="3" borderId="1" xfId="0" applyNumberFormat="1" applyFont="1" applyFill="1" applyBorder="1"/>
    <xf numFmtId="164" fontId="4" fillId="3" borderId="1" xfId="0" applyNumberFormat="1" applyFont="1" applyFill="1" applyBorder="1"/>
    <xf numFmtId="0" fontId="4" fillId="0" borderId="1" xfId="0" applyFont="1" applyBorder="1"/>
    <xf numFmtId="0" fontId="7" fillId="4" borderId="1" xfId="0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" fontId="4" fillId="0" borderId="1" xfId="0" applyNumberFormat="1" applyFont="1" applyBorder="1"/>
    <xf numFmtId="0" fontId="7" fillId="0" borderId="1" xfId="0" applyFont="1" applyBorder="1"/>
    <xf numFmtId="0" fontId="5" fillId="5" borderId="1" xfId="0" applyFont="1" applyFill="1" applyBorder="1"/>
    <xf numFmtId="3" fontId="7" fillId="0" borderId="1" xfId="0" applyNumberFormat="1" applyFont="1" applyBorder="1"/>
    <xf numFmtId="2" fontId="5" fillId="5" borderId="1" xfId="0" applyNumberFormat="1" applyFont="1" applyFill="1" applyBorder="1"/>
    <xf numFmtId="164" fontId="5" fillId="5" borderId="1" xfId="0" applyNumberFormat="1" applyFont="1" applyFill="1" applyBorder="1"/>
    <xf numFmtId="166" fontId="5" fillId="5" borderId="1" xfId="0" applyNumberFormat="1" applyFont="1" applyFill="1" applyBorder="1"/>
    <xf numFmtId="168" fontId="5" fillId="5" borderId="1" xfId="0" applyNumberFormat="1" applyFont="1" applyFill="1" applyBorder="1"/>
    <xf numFmtId="1" fontId="5" fillId="5" borderId="1" xfId="0" applyNumberFormat="1" applyFont="1" applyFill="1" applyBorder="1"/>
    <xf numFmtId="0" fontId="5" fillId="0" borderId="1" xfId="0" applyFont="1" applyBorder="1" applyAlignment="1">
      <alignment vertical="center" wrapText="1"/>
    </xf>
    <xf numFmtId="2" fontId="7" fillId="0" borderId="1" xfId="0" applyNumberFormat="1" applyFont="1" applyBorder="1"/>
  </cellXfs>
  <cellStyles count="1">
    <cellStyle name="Normal" xfId="0" builtinId="0"/>
  </cellStyles>
  <dxfs count="10">
    <dxf>
      <font>
        <color rgb="FF006100"/>
        <name val="Arial"/>
      </font>
      <fill>
        <patternFill>
          <bgColor rgb="FFC6EFCE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  <dxf>
      <font>
        <color rgb="FF9C5700"/>
        <name val="Arial"/>
      </font>
      <fill>
        <patternFill>
          <bgColor rgb="FFFFEB9C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7F7F7F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9F9F9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C57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Freight Revenue (Rs)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Dashboard!$D$42</c:f>
              <c:strCache>
                <c:ptCount val="1"/>
                <c:pt idx="0">
                  <c:v>Freight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Dashboard!$A$43:$A$48</c:f>
              <c:strCache>
                <c:ptCount val="6"/>
                <c:pt idx="0">
                  <c:v>Apr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</c:strCache>
            </c:strRef>
          </c:cat>
          <c:val>
            <c:numRef>
              <c:f>Dashboard!$D$43:$D$48</c:f>
              <c:numCache>
                <c:formatCode>"Rs "#,##0</c:formatCode>
                <c:ptCount val="6"/>
                <c:pt idx="0">
                  <c:v>581753</c:v>
                </c:pt>
                <c:pt idx="1">
                  <c:v>1248303</c:v>
                </c:pt>
                <c:pt idx="2">
                  <c:v>1243245</c:v>
                </c:pt>
                <c:pt idx="3">
                  <c:v>2107927</c:v>
                </c:pt>
                <c:pt idx="4">
                  <c:v>1561381</c:v>
                </c:pt>
                <c:pt idx="5">
                  <c:v>1249619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263824"/>
        <c:axId val="295268528"/>
      </c:barChart>
      <c:catAx>
        <c:axId val="29526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268528"/>
        <c:crosses val="autoZero"/>
        <c:auto val="1"/>
        <c:lblAlgn val="ctr"/>
        <c:lblOffset val="100"/>
        <c:noMultiLvlLbl val="0"/>
      </c:catAx>
      <c:valAx>
        <c:axId val="295268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2638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On-Time Delivery % by Month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Dashboard!$E$42</c:f>
              <c:strCache>
                <c:ptCount val="1"/>
                <c:pt idx="0">
                  <c:v>On-Time %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Dashboard!$A$43:$A$48</c:f>
              <c:strCache>
                <c:ptCount val="6"/>
                <c:pt idx="0">
                  <c:v>Apr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</c:strCache>
            </c:strRef>
          </c:cat>
          <c:val>
            <c:numRef>
              <c:f>Dashboard!$E$43:$E$48</c:f>
              <c:numCache>
                <c:formatCode>0.0%</c:formatCode>
                <c:ptCount val="6"/>
                <c:pt idx="0">
                  <c:v>0.73913043478260865</c:v>
                </c:pt>
                <c:pt idx="1">
                  <c:v>0.625</c:v>
                </c:pt>
                <c:pt idx="2">
                  <c:v>0.7567567567567568</c:v>
                </c:pt>
                <c:pt idx="3">
                  <c:v>0.56060606060606055</c:v>
                </c:pt>
                <c:pt idx="4">
                  <c:v>0.640625</c:v>
                </c:pt>
                <c:pt idx="5">
                  <c:v>0.73529411764705888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5261472"/>
        <c:axId val="295265000"/>
      </c:lineChart>
      <c:catAx>
        <c:axId val="29526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265000"/>
        <c:crosses val="autoZero"/>
        <c:auto val="1"/>
        <c:lblAlgn val="ctr"/>
        <c:lblOffset val="100"/>
        <c:noMultiLvlLbl val="0"/>
      </c:catAx>
      <c:valAx>
        <c:axId val="29526500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2614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Document Verification Status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Dashboard!$H$42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Dashboard!$G$43:$G$45</c:f>
              <c:strCache>
                <c:ptCount val="3"/>
                <c:pt idx="0">
                  <c:v>Verified</c:v>
                </c:pt>
                <c:pt idx="1">
                  <c:v>Pending</c:v>
                </c:pt>
                <c:pt idx="2">
                  <c:v>Discrepancy</c:v>
                </c:pt>
              </c:strCache>
            </c:strRef>
          </c:cat>
          <c:val>
            <c:numRef>
              <c:f>Dashboard!$H$43:$H$45</c:f>
              <c:numCache>
                <c:formatCode>#,##0</c:formatCode>
                <c:ptCount val="3"/>
                <c:pt idx="0">
                  <c:v>85</c:v>
                </c:pt>
                <c:pt idx="1">
                  <c:v>27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Freight Revenue by Route (Rs)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Dashboard!$D$53</c:f>
              <c:strCache>
                <c:ptCount val="1"/>
                <c:pt idx="0">
                  <c:v>Freight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Dashboard!$A$54:$A$65</c:f>
              <c:strCache>
                <c:ptCount val="12"/>
                <c:pt idx="0">
                  <c:v>DEL-JPR</c:v>
                </c:pt>
                <c:pt idx="1">
                  <c:v>DEL-LKO</c:v>
                </c:pt>
                <c:pt idx="2">
                  <c:v>DEL-CHD</c:v>
                </c:pt>
                <c:pt idx="3">
                  <c:v>DEL-AMD</c:v>
                </c:pt>
                <c:pt idx="4">
                  <c:v>DEL-BOM</c:v>
                </c:pt>
                <c:pt idx="5">
                  <c:v>DEL-CCU</c:v>
                </c:pt>
                <c:pt idx="6">
                  <c:v>DEL-KNP</c:v>
                </c:pt>
                <c:pt idx="7">
                  <c:v>DEL-AGR</c:v>
                </c:pt>
                <c:pt idx="8">
                  <c:v>GZB-MRT</c:v>
                </c:pt>
                <c:pt idx="9">
                  <c:v>DEL-DED</c:v>
                </c:pt>
                <c:pt idx="10">
                  <c:v>DEL-BPL</c:v>
                </c:pt>
                <c:pt idx="11">
                  <c:v>DEL-IDR</c:v>
                </c:pt>
              </c:strCache>
            </c:strRef>
          </c:cat>
          <c:val>
            <c:numRef>
              <c:f>Dashboard!$D$54:$D$65</c:f>
              <c:numCache>
                <c:formatCode>"Rs "#,##0</c:formatCode>
                <c:ptCount val="12"/>
                <c:pt idx="0">
                  <c:v>600460</c:v>
                </c:pt>
                <c:pt idx="1">
                  <c:v>661648</c:v>
                </c:pt>
                <c:pt idx="2">
                  <c:v>322350</c:v>
                </c:pt>
                <c:pt idx="3">
                  <c:v>624975</c:v>
                </c:pt>
                <c:pt idx="4">
                  <c:v>1468700</c:v>
                </c:pt>
                <c:pt idx="5">
                  <c:v>1630200</c:v>
                </c:pt>
                <c:pt idx="6">
                  <c:v>432045</c:v>
                </c:pt>
                <c:pt idx="7">
                  <c:v>285628</c:v>
                </c:pt>
                <c:pt idx="8">
                  <c:v>350802</c:v>
                </c:pt>
                <c:pt idx="9">
                  <c:v>275680</c:v>
                </c:pt>
                <c:pt idx="10">
                  <c:v>873360</c:v>
                </c:pt>
                <c:pt idx="11">
                  <c:v>466380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385128"/>
        <c:axId val="362272512"/>
      </c:barChart>
      <c:catAx>
        <c:axId val="22138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272512"/>
        <c:crosses val="autoZero"/>
        <c:auto val="1"/>
        <c:lblAlgn val="ctr"/>
        <c:lblOffset val="100"/>
        <c:noMultiLvlLbl val="0"/>
      </c:catAx>
      <c:valAx>
        <c:axId val="36227251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3851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Freight revenue by client (selected period)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'MIS Report'!$D$22</c:f>
              <c:strCache>
                <c:ptCount val="1"/>
                <c:pt idx="0">
                  <c:v>Freight (Rs)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'MIS Report'!$A$23:$A$32</c:f>
              <c:strCache>
                <c:ptCount val="10"/>
                <c:pt idx="0">
                  <c:v>Shree Ganesh Traders</c:v>
                </c:pt>
                <c:pt idx="1">
                  <c:v>Metro Fabrics Pvt Ltd</c:v>
                </c:pt>
                <c:pt idx="2">
                  <c:v>Apex Electronics</c:v>
                </c:pt>
                <c:pt idx="3">
                  <c:v>Sharma Agro Foods</c:v>
                </c:pt>
                <c:pt idx="4">
                  <c:v>Bharat Auto Components</c:v>
                </c:pt>
                <c:pt idx="5">
                  <c:v>Kailash Pharma</c:v>
                </c:pt>
                <c:pt idx="6">
                  <c:v>Sunrise Furniture</c:v>
                </c:pt>
                <c:pt idx="7">
                  <c:v>Delta Packaging</c:v>
                </c:pt>
                <c:pt idx="8">
                  <c:v>Nova Home Appliances</c:v>
                </c:pt>
                <c:pt idx="9">
                  <c:v>Krishna Steel Works</c:v>
                </c:pt>
              </c:strCache>
            </c:strRef>
          </c:cat>
          <c:val>
            <c:numRef>
              <c:f>'MIS Report'!$D$23:$D$32</c:f>
              <c:numCache>
                <c:formatCode>"Rs "#,##0</c:formatCode>
                <c:ptCount val="10"/>
                <c:pt idx="0">
                  <c:v>341832</c:v>
                </c:pt>
                <c:pt idx="1">
                  <c:v>93204</c:v>
                </c:pt>
                <c:pt idx="2">
                  <c:v>286056</c:v>
                </c:pt>
                <c:pt idx="3">
                  <c:v>247709</c:v>
                </c:pt>
                <c:pt idx="4">
                  <c:v>209757</c:v>
                </c:pt>
                <c:pt idx="5">
                  <c:v>67310</c:v>
                </c:pt>
                <c:pt idx="6">
                  <c:v>111173</c:v>
                </c:pt>
                <c:pt idx="7">
                  <c:v>56920</c:v>
                </c:pt>
                <c:pt idx="8">
                  <c:v>147420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271728"/>
        <c:axId val="362275648"/>
      </c:barChart>
      <c:catAx>
        <c:axId val="36227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275648"/>
        <c:crosses val="autoZero"/>
        <c:auto val="1"/>
        <c:lblAlgn val="ctr"/>
        <c:lblOffset val="100"/>
        <c:noMultiLvlLbl val="0"/>
      </c:catAx>
      <c:valAx>
        <c:axId val="362275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s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271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Shipment data errors by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'Data Quality'!$A$7:$A$11</c:f>
              <c:strCache>
                <c:ptCount val="5"/>
                <c:pt idx="0">
                  <c:v>Duplicate Shipment ID</c:v>
                </c:pt>
                <c:pt idx="1">
                  <c:v>Missing Field</c:v>
                </c:pt>
                <c:pt idx="2">
                  <c:v>Invalid Weight</c:v>
                </c:pt>
                <c:pt idx="3">
                  <c:v>Delivery Before Ship Date</c:v>
                </c:pt>
                <c:pt idx="4">
                  <c:v>Delivered But No Date</c:v>
                </c:pt>
              </c:strCache>
            </c:strRef>
          </c:cat>
          <c:val>
            <c:numRef>
              <c:f>'Data Quality'!$B$7:$B$11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2272904"/>
        <c:axId val="362270552"/>
      </c:barChart>
      <c:catAx>
        <c:axId val="362272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270552"/>
        <c:crosses val="autoZero"/>
        <c:auto val="1"/>
        <c:lblAlgn val="ctr"/>
        <c:lblOffset val="100"/>
        <c:noMultiLvlLbl val="0"/>
      </c:catAx>
      <c:valAx>
        <c:axId val="3622705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2272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130680</xdr:rowOff>
    </xdr:from>
    <xdr:to>
      <xdr:col>3</xdr:col>
      <xdr:colOff>1100160</xdr:colOff>
      <xdr:row>19</xdr:row>
      <xdr:rowOff>163440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5</xdr:row>
      <xdr:rowOff>130680</xdr:rowOff>
    </xdr:from>
    <xdr:to>
      <xdr:col>8</xdr:col>
      <xdr:colOff>606600</xdr:colOff>
      <xdr:row>19</xdr:row>
      <xdr:rowOff>163440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130680</xdr:rowOff>
    </xdr:from>
    <xdr:to>
      <xdr:col>3</xdr:col>
      <xdr:colOff>1100160</xdr:colOff>
      <xdr:row>36</xdr:row>
      <xdr:rowOff>163440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22</xdr:row>
      <xdr:rowOff>130680</xdr:rowOff>
    </xdr:from>
    <xdr:to>
      <xdr:col>8</xdr:col>
      <xdr:colOff>606600</xdr:colOff>
      <xdr:row>36</xdr:row>
      <xdr:rowOff>163440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130680</xdr:rowOff>
    </xdr:from>
    <xdr:to>
      <xdr:col>18</xdr:col>
      <xdr:colOff>113040</xdr:colOff>
      <xdr:row>23</xdr:row>
      <xdr:rowOff>131760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18720</xdr:rowOff>
    </xdr:from>
    <xdr:to>
      <xdr:col>2</xdr:col>
      <xdr:colOff>2517480</xdr:colOff>
      <xdr:row>39</xdr:row>
      <xdr:rowOff>61560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  <pageSetUpPr fitToPage="1"/>
  </sheetPr>
  <dimension ref="A1:C36"/>
  <sheetViews>
    <sheetView showGridLines="0" zoomScaleNormal="100" workbookViewId="0"/>
  </sheetViews>
  <sheetFormatPr defaultColWidth="8.6640625" defaultRowHeight="14.4" x14ac:dyDescent="0.3"/>
  <cols>
    <col min="1" max="1" width="24" customWidth="1"/>
    <col min="2" max="2" width="62" customWidth="1"/>
    <col min="3" max="3" width="46" customWidth="1"/>
  </cols>
  <sheetData>
    <row r="1" spans="1:3" ht="21" x14ac:dyDescent="0.4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4"/>
      <c r="C4" s="4"/>
    </row>
    <row r="5" spans="1:3" x14ac:dyDescent="0.3">
      <c r="A5" s="5" t="s">
        <v>3</v>
      </c>
      <c r="B5" s="6" t="s">
        <v>4</v>
      </c>
      <c r="C5" s="6" t="s">
        <v>5</v>
      </c>
    </row>
    <row r="6" spans="1:3" x14ac:dyDescent="0.3">
      <c r="A6" s="5" t="s">
        <v>6</v>
      </c>
      <c r="B6" s="6" t="s">
        <v>7</v>
      </c>
      <c r="C6" s="6" t="s">
        <v>8</v>
      </c>
    </row>
    <row r="7" spans="1:3" ht="26.4" x14ac:dyDescent="0.3">
      <c r="A7" s="5" t="s">
        <v>9</v>
      </c>
      <c r="B7" s="6" t="s">
        <v>10</v>
      </c>
      <c r="C7" s="6" t="s">
        <v>11</v>
      </c>
    </row>
    <row r="8" spans="1:3" ht="26.4" x14ac:dyDescent="0.3">
      <c r="A8" s="5" t="s">
        <v>12</v>
      </c>
      <c r="B8" s="6" t="s">
        <v>13</v>
      </c>
      <c r="C8" s="6" t="s">
        <v>14</v>
      </c>
    </row>
    <row r="9" spans="1:3" ht="26.4" x14ac:dyDescent="0.3">
      <c r="A9" s="5" t="s">
        <v>15</v>
      </c>
      <c r="B9" s="6" t="s">
        <v>16</v>
      </c>
      <c r="C9" s="6" t="s">
        <v>17</v>
      </c>
    </row>
    <row r="10" spans="1:3" x14ac:dyDescent="0.3">
      <c r="A10" s="5" t="s">
        <v>18</v>
      </c>
      <c r="B10" s="6" t="s">
        <v>19</v>
      </c>
      <c r="C10" s="6" t="s">
        <v>20</v>
      </c>
    </row>
    <row r="11" spans="1:3" x14ac:dyDescent="0.3">
      <c r="A11" s="5" t="s">
        <v>21</v>
      </c>
      <c r="B11" s="6" t="s">
        <v>22</v>
      </c>
      <c r="C11" s="6" t="s">
        <v>23</v>
      </c>
    </row>
    <row r="13" spans="1:3" x14ac:dyDescent="0.3">
      <c r="A13" s="3" t="s">
        <v>24</v>
      </c>
      <c r="B13" s="4"/>
      <c r="C13" s="4"/>
    </row>
    <row r="14" spans="1:3" ht="26.4" x14ac:dyDescent="0.3">
      <c r="A14" s="5" t="s">
        <v>25</v>
      </c>
      <c r="B14" s="6" t="s">
        <v>26</v>
      </c>
      <c r="C14" s="6"/>
    </row>
    <row r="15" spans="1:3" ht="26.4" x14ac:dyDescent="0.3">
      <c r="A15" s="5" t="s">
        <v>27</v>
      </c>
      <c r="B15" s="6" t="s">
        <v>28</v>
      </c>
      <c r="C15" s="6"/>
    </row>
    <row r="16" spans="1:3" x14ac:dyDescent="0.3">
      <c r="A16" s="5" t="s">
        <v>29</v>
      </c>
      <c r="B16" s="6" t="s">
        <v>30</v>
      </c>
      <c r="C16" s="6"/>
    </row>
    <row r="17" spans="1:3" ht="26.4" x14ac:dyDescent="0.3">
      <c r="A17" s="5" t="s">
        <v>31</v>
      </c>
      <c r="B17" s="6" t="s">
        <v>32</v>
      </c>
      <c r="C17" s="6"/>
    </row>
    <row r="18" spans="1:3" x14ac:dyDescent="0.3">
      <c r="A18" s="5" t="s">
        <v>33</v>
      </c>
      <c r="B18" s="6" t="s">
        <v>34</v>
      </c>
      <c r="C18" s="6"/>
    </row>
    <row r="20" spans="1:3" x14ac:dyDescent="0.3">
      <c r="A20" s="3" t="s">
        <v>35</v>
      </c>
      <c r="B20" s="4"/>
      <c r="C20" s="4"/>
    </row>
    <row r="21" spans="1:3" x14ac:dyDescent="0.3">
      <c r="A21" s="5" t="s">
        <v>36</v>
      </c>
      <c r="B21" s="6" t="s">
        <v>37</v>
      </c>
      <c r="C21" s="6"/>
    </row>
    <row r="22" spans="1:3" x14ac:dyDescent="0.3">
      <c r="A22" s="5" t="s">
        <v>38</v>
      </c>
      <c r="B22" s="6" t="s">
        <v>39</v>
      </c>
      <c r="C22" s="6"/>
    </row>
    <row r="23" spans="1:3" x14ac:dyDescent="0.3">
      <c r="A23" s="5" t="s">
        <v>40</v>
      </c>
      <c r="B23" s="6" t="s">
        <v>41</v>
      </c>
      <c r="C23" s="6"/>
    </row>
    <row r="24" spans="1:3" x14ac:dyDescent="0.3">
      <c r="A24" s="5" t="s">
        <v>42</v>
      </c>
      <c r="B24" s="6" t="s">
        <v>43</v>
      </c>
      <c r="C24" s="6"/>
    </row>
    <row r="26" spans="1:3" x14ac:dyDescent="0.3">
      <c r="A26" s="3" t="s">
        <v>44</v>
      </c>
      <c r="B26" s="4"/>
      <c r="C26" s="4"/>
    </row>
    <row r="27" spans="1:3" ht="39.6" x14ac:dyDescent="0.3">
      <c r="A27" s="5" t="s">
        <v>45</v>
      </c>
      <c r="B27" s="6" t="s">
        <v>46</v>
      </c>
      <c r="C27" s="6"/>
    </row>
    <row r="28" spans="1:3" ht="26.4" x14ac:dyDescent="0.3">
      <c r="A28" s="5" t="s">
        <v>47</v>
      </c>
      <c r="B28" s="6" t="s">
        <v>48</v>
      </c>
      <c r="C28" s="6"/>
    </row>
    <row r="29" spans="1:3" x14ac:dyDescent="0.3">
      <c r="A29" s="5" t="s">
        <v>49</v>
      </c>
      <c r="B29" s="6" t="s">
        <v>50</v>
      </c>
      <c r="C29" s="6"/>
    </row>
    <row r="30" spans="1:3" x14ac:dyDescent="0.3">
      <c r="A30" s="5" t="s">
        <v>51</v>
      </c>
      <c r="B30" s="6" t="s">
        <v>52</v>
      </c>
      <c r="C30" s="6"/>
    </row>
    <row r="31" spans="1:3" ht="26.4" x14ac:dyDescent="0.3">
      <c r="A31" s="5" t="s">
        <v>53</v>
      </c>
      <c r="B31" s="6" t="s">
        <v>54</v>
      </c>
      <c r="C31" s="6"/>
    </row>
    <row r="32" spans="1:3" ht="26.4" x14ac:dyDescent="0.3">
      <c r="A32" s="5" t="s">
        <v>55</v>
      </c>
      <c r="B32" s="6" t="s">
        <v>56</v>
      </c>
      <c r="C32" s="6"/>
    </row>
    <row r="34" spans="1:3" x14ac:dyDescent="0.3">
      <c r="A34" s="3" t="s">
        <v>57</v>
      </c>
      <c r="B34" s="4"/>
      <c r="C34" s="4"/>
    </row>
    <row r="35" spans="1:3" ht="26.4" x14ac:dyDescent="0.3">
      <c r="A35" s="5" t="s">
        <v>58</v>
      </c>
      <c r="B35" s="6" t="s">
        <v>59</v>
      </c>
      <c r="C35" s="6"/>
    </row>
    <row r="36" spans="1:3" ht="26.4" x14ac:dyDescent="0.3">
      <c r="A36" s="5" t="s">
        <v>60</v>
      </c>
      <c r="B36" s="6" t="s">
        <v>61</v>
      </c>
      <c r="C36" s="6"/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  <pageSetUpPr fitToPage="1"/>
  </sheetPr>
  <dimension ref="A1:I66"/>
  <sheetViews>
    <sheetView showGridLines="0" topLeftCell="A64" zoomScaleNormal="100" workbookViewId="0"/>
  </sheetViews>
  <sheetFormatPr defaultColWidth="8.6640625" defaultRowHeight="14.4" x14ac:dyDescent="0.3"/>
  <cols>
    <col min="1" max="2" width="22" customWidth="1"/>
    <col min="3" max="9" width="17" customWidth="1"/>
  </cols>
  <sheetData>
    <row r="1" spans="1:8" ht="21" x14ac:dyDescent="0.4">
      <c r="A1" s="1" t="s">
        <v>62</v>
      </c>
    </row>
    <row r="2" spans="1:8" x14ac:dyDescent="0.3">
      <c r="A2" s="2" t="s">
        <v>63</v>
      </c>
    </row>
    <row r="4" spans="1:8" ht="30" customHeight="1" x14ac:dyDescent="0.3">
      <c r="A4" s="7" t="s">
        <v>64</v>
      </c>
      <c r="B4" s="7" t="s">
        <v>65</v>
      </c>
      <c r="C4" s="7" t="s">
        <v>66</v>
      </c>
      <c r="D4" s="7" t="s">
        <v>67</v>
      </c>
      <c r="E4" s="7" t="s">
        <v>68</v>
      </c>
      <c r="F4" s="7" t="s">
        <v>69</v>
      </c>
      <c r="G4" s="7" t="s">
        <v>70</v>
      </c>
      <c r="H4" s="7" t="s">
        <v>71</v>
      </c>
    </row>
    <row r="5" spans="1:8" ht="30" customHeight="1" x14ac:dyDescent="0.3">
      <c r="A5" s="8">
        <f>COUNTIF('Shipment Data'!$Q$2:$Q$1000,"OK")</f>
        <v>279</v>
      </c>
      <c r="B5" s="9">
        <f>SUMIFS('Shipment Data'!$I$2:$I$1000,'Shipment Data'!$Q$2:$Q$1000,"OK")</f>
        <v>7992228</v>
      </c>
      <c r="C5" s="10">
        <f>IF(COUNTIFS('Shipment Data'!$Q$2:$Q$1000,"OK",'Shipment Data'!$O$2:$O$1000,"Yes")+COUNTIFS('Shipment Data'!$Q$2:$Q$1000,"OK",'Shipment Data'!$O$2:$O$1000,"No")=0,"n/a",COUNTIFS('Shipment Data'!$Q$2:$Q$1000,"OK",'Shipment Data'!$O$2:$O$1000,"Yes")/(COUNTIFS('Shipment Data'!$Q$2:$Q$1000,"OK",'Shipment Data'!$O$2:$O$1000,"Yes")+COUNTIFS('Shipment Data'!$Q$2:$Q$1000,"OK",'Shipment Data'!$O$2:$O$1000,"No")))</f>
        <v>0.65441176470588236</v>
      </c>
      <c r="D5" s="10">
        <f>'Data Quality'!B13</f>
        <v>0.93</v>
      </c>
      <c r="E5" s="10">
        <f>IF(COUNTA('Doc Verification'!$A$2:$A$500)=0,0,COUNTIF('Doc Verification'!$G$2:$G$500,"Verified")/COUNTA('Doc Verification'!$A$2:$A$500))</f>
        <v>0.70833333333333337</v>
      </c>
      <c r="F5" s="8">
        <f>COUNTIF('Doc Verification'!$G$2:$G$500,"Pending")</f>
        <v>27</v>
      </c>
      <c r="G5" s="8">
        <f ca="1">COUNTIF('Doc Verification'!$L$2:$L$500,"Overdue")</f>
        <v>13</v>
      </c>
      <c r="H5" s="8">
        <f>COUNTIF('Doc Verification'!$G$2:$G$500,"Discrepancy")</f>
        <v>8</v>
      </c>
    </row>
    <row r="40" spans="1:9" x14ac:dyDescent="0.3">
      <c r="A40" s="11" t="s">
        <v>72</v>
      </c>
    </row>
    <row r="41" spans="1:9" x14ac:dyDescent="0.3">
      <c r="A41" s="11" t="s">
        <v>73</v>
      </c>
      <c r="G41" s="11" t="s">
        <v>74</v>
      </c>
    </row>
    <row r="42" spans="1:9" x14ac:dyDescent="0.3">
      <c r="A42" s="7" t="s">
        <v>75</v>
      </c>
      <c r="B42" s="7" t="s">
        <v>76</v>
      </c>
      <c r="C42" s="7" t="s">
        <v>77</v>
      </c>
      <c r="D42" s="7" t="s">
        <v>78</v>
      </c>
      <c r="E42" s="7" t="s">
        <v>79</v>
      </c>
      <c r="G42" s="7" t="s">
        <v>80</v>
      </c>
      <c r="H42" s="7" t="s">
        <v>81</v>
      </c>
      <c r="I42" s="7" t="s">
        <v>82</v>
      </c>
    </row>
    <row r="43" spans="1:9" x14ac:dyDescent="0.3">
      <c r="A43" s="12" t="str">
        <f t="shared" ref="A43:A48" si="0">TEXT(B43,"mmm yyyy")</f>
        <v>Apr 2026</v>
      </c>
      <c r="B43" s="13">
        <v>46113</v>
      </c>
      <c r="C43" s="14">
        <f>COUNTIFS('Shipment Data'!$P$2:$P$1000,$B43,'Shipment Data'!$Q$2:$Q$1000,"OK")</f>
        <v>23</v>
      </c>
      <c r="D43" s="15">
        <f>SUMIFS('Shipment Data'!$I$2:$I$1000,'Shipment Data'!$P$2:$P$1000,$B43,'Shipment Data'!$Q$2:$Q$1000,"OK")</f>
        <v>581753</v>
      </c>
      <c r="E43" s="16">
        <f>IF(COUNTIFS('Shipment Data'!$P$2:$P$1000,$B43,'Shipment Data'!$Q$2:$Q$1000,"OK",'Shipment Data'!$O$2:$O$1000,"Yes")+COUNTIFS('Shipment Data'!$P$2:$P$1000,$B43,'Shipment Data'!$Q$2:$Q$1000,"OK",'Shipment Data'!$O$2:$O$1000,"No")=0,0,COUNTIFS('Shipment Data'!$P$2:$P$1000,$B43,'Shipment Data'!$Q$2:$Q$1000,"OK",'Shipment Data'!$O$2:$O$1000,"Yes")/(COUNTIFS('Shipment Data'!$P$2:$P$1000,$B43,'Shipment Data'!$Q$2:$Q$1000,"OK",'Shipment Data'!$O$2:$O$1000,"Yes")+COUNTIFS('Shipment Data'!$P$2:$P$1000,$B43,'Shipment Data'!$Q$2:$Q$1000,"OK",'Shipment Data'!$O$2:$O$1000,"No")))</f>
        <v>0.73913043478260865</v>
      </c>
      <c r="G43" s="12" t="s">
        <v>83</v>
      </c>
      <c r="H43" s="14">
        <f>COUNTIF('Doc Verification'!$G$2:$G$500,G43)</f>
        <v>85</v>
      </c>
      <c r="I43" s="16">
        <f>IF($H$46=0,0,H43/$H$46)</f>
        <v>0.70833333333333337</v>
      </c>
    </row>
    <row r="44" spans="1:9" x14ac:dyDescent="0.3">
      <c r="A44" s="12" t="str">
        <f t="shared" si="0"/>
        <v>May 2026</v>
      </c>
      <c r="B44" s="17">
        <f>DATE(YEAR(B43),MONTH(B43)+1,1)</f>
        <v>46143</v>
      </c>
      <c r="C44" s="14">
        <f>COUNTIFS('Shipment Data'!$P$2:$P$1000,$B44,'Shipment Data'!$Q$2:$Q$1000,"OK")</f>
        <v>48</v>
      </c>
      <c r="D44" s="15">
        <f>SUMIFS('Shipment Data'!$I$2:$I$1000,'Shipment Data'!$P$2:$P$1000,$B44,'Shipment Data'!$Q$2:$Q$1000,"OK")</f>
        <v>1248303</v>
      </c>
      <c r="E44" s="16">
        <f>IF(COUNTIFS('Shipment Data'!$P$2:$P$1000,$B44,'Shipment Data'!$Q$2:$Q$1000,"OK",'Shipment Data'!$O$2:$O$1000,"Yes")+COUNTIFS('Shipment Data'!$P$2:$P$1000,$B44,'Shipment Data'!$Q$2:$Q$1000,"OK",'Shipment Data'!$O$2:$O$1000,"No")=0,0,COUNTIFS('Shipment Data'!$P$2:$P$1000,$B44,'Shipment Data'!$Q$2:$Q$1000,"OK",'Shipment Data'!$O$2:$O$1000,"Yes")/(COUNTIFS('Shipment Data'!$P$2:$P$1000,$B44,'Shipment Data'!$Q$2:$Q$1000,"OK",'Shipment Data'!$O$2:$O$1000,"Yes")+COUNTIFS('Shipment Data'!$P$2:$P$1000,$B44,'Shipment Data'!$Q$2:$Q$1000,"OK",'Shipment Data'!$O$2:$O$1000,"No")))</f>
        <v>0.625</v>
      </c>
      <c r="G44" s="12" t="s">
        <v>84</v>
      </c>
      <c r="H44" s="14">
        <f>COUNTIF('Doc Verification'!$G$2:$G$500,G44)</f>
        <v>27</v>
      </c>
      <c r="I44" s="16">
        <f>IF($H$46=0,0,H44/$H$46)</f>
        <v>0.22500000000000001</v>
      </c>
    </row>
    <row r="45" spans="1:9" x14ac:dyDescent="0.3">
      <c r="A45" s="12" t="str">
        <f t="shared" si="0"/>
        <v>Jun 2026</v>
      </c>
      <c r="B45" s="17">
        <f>DATE(YEAR(B44),MONTH(B44)+1,1)</f>
        <v>46174</v>
      </c>
      <c r="C45" s="14">
        <f>COUNTIFS('Shipment Data'!$P$2:$P$1000,$B45,'Shipment Data'!$Q$2:$Q$1000,"OK")</f>
        <v>37</v>
      </c>
      <c r="D45" s="15">
        <f>SUMIFS('Shipment Data'!$I$2:$I$1000,'Shipment Data'!$P$2:$P$1000,$B45,'Shipment Data'!$Q$2:$Q$1000,"OK")</f>
        <v>1243245</v>
      </c>
      <c r="E45" s="16">
        <f>IF(COUNTIFS('Shipment Data'!$P$2:$P$1000,$B45,'Shipment Data'!$Q$2:$Q$1000,"OK",'Shipment Data'!$O$2:$O$1000,"Yes")+COUNTIFS('Shipment Data'!$P$2:$P$1000,$B45,'Shipment Data'!$Q$2:$Q$1000,"OK",'Shipment Data'!$O$2:$O$1000,"No")=0,0,COUNTIFS('Shipment Data'!$P$2:$P$1000,$B45,'Shipment Data'!$Q$2:$Q$1000,"OK",'Shipment Data'!$O$2:$O$1000,"Yes")/(COUNTIFS('Shipment Data'!$P$2:$P$1000,$B45,'Shipment Data'!$Q$2:$Q$1000,"OK",'Shipment Data'!$O$2:$O$1000,"Yes")+COUNTIFS('Shipment Data'!$P$2:$P$1000,$B45,'Shipment Data'!$Q$2:$Q$1000,"OK",'Shipment Data'!$O$2:$O$1000,"No")))</f>
        <v>0.7567567567567568</v>
      </c>
      <c r="G45" s="12" t="s">
        <v>85</v>
      </c>
      <c r="H45" s="14">
        <f>COUNTIF('Doc Verification'!$G$2:$G$500,G45)</f>
        <v>8</v>
      </c>
      <c r="I45" s="16">
        <f>IF($H$46=0,0,H45/$H$46)</f>
        <v>6.6666666666666666E-2</v>
      </c>
    </row>
    <row r="46" spans="1:9" x14ac:dyDescent="0.3">
      <c r="A46" s="12" t="str">
        <f t="shared" si="0"/>
        <v>Jul 2026</v>
      </c>
      <c r="B46" s="17">
        <f>DATE(YEAR(B45),MONTH(B45)+1,1)</f>
        <v>46204</v>
      </c>
      <c r="C46" s="14">
        <f>COUNTIFS('Shipment Data'!$P$2:$P$1000,$B46,'Shipment Data'!$Q$2:$Q$1000,"OK")</f>
        <v>66</v>
      </c>
      <c r="D46" s="15">
        <f>SUMIFS('Shipment Data'!$I$2:$I$1000,'Shipment Data'!$P$2:$P$1000,$B46,'Shipment Data'!$Q$2:$Q$1000,"OK")</f>
        <v>2107927</v>
      </c>
      <c r="E46" s="16">
        <f>IF(COUNTIFS('Shipment Data'!$P$2:$P$1000,$B46,'Shipment Data'!$Q$2:$Q$1000,"OK",'Shipment Data'!$O$2:$O$1000,"Yes")+COUNTIFS('Shipment Data'!$P$2:$P$1000,$B46,'Shipment Data'!$Q$2:$Q$1000,"OK",'Shipment Data'!$O$2:$O$1000,"No")=0,0,COUNTIFS('Shipment Data'!$P$2:$P$1000,$B46,'Shipment Data'!$Q$2:$Q$1000,"OK",'Shipment Data'!$O$2:$O$1000,"Yes")/(COUNTIFS('Shipment Data'!$P$2:$P$1000,$B46,'Shipment Data'!$Q$2:$Q$1000,"OK",'Shipment Data'!$O$2:$O$1000,"Yes")+COUNTIFS('Shipment Data'!$P$2:$P$1000,$B46,'Shipment Data'!$Q$2:$Q$1000,"OK",'Shipment Data'!$O$2:$O$1000,"No")))</f>
        <v>0.56060606060606055</v>
      </c>
      <c r="G46" s="18" t="s">
        <v>86</v>
      </c>
      <c r="H46" s="19">
        <f>SUM(H43:H45)</f>
        <v>120</v>
      </c>
      <c r="I46" s="20">
        <f>SUM(I43:I45)</f>
        <v>1</v>
      </c>
    </row>
    <row r="47" spans="1:9" x14ac:dyDescent="0.3">
      <c r="A47" s="12" t="str">
        <f t="shared" si="0"/>
        <v>Aug 2026</v>
      </c>
      <c r="B47" s="17">
        <f>DATE(YEAR(B46),MONTH(B46)+1,1)</f>
        <v>46235</v>
      </c>
      <c r="C47" s="14">
        <f>COUNTIFS('Shipment Data'!$P$2:$P$1000,$B47,'Shipment Data'!$Q$2:$Q$1000,"OK")</f>
        <v>64</v>
      </c>
      <c r="D47" s="15">
        <f>SUMIFS('Shipment Data'!$I$2:$I$1000,'Shipment Data'!$P$2:$P$1000,$B47,'Shipment Data'!$Q$2:$Q$1000,"OK")</f>
        <v>1561381</v>
      </c>
      <c r="E47" s="16">
        <f>IF(COUNTIFS('Shipment Data'!$P$2:$P$1000,$B47,'Shipment Data'!$Q$2:$Q$1000,"OK",'Shipment Data'!$O$2:$O$1000,"Yes")+COUNTIFS('Shipment Data'!$P$2:$P$1000,$B47,'Shipment Data'!$Q$2:$Q$1000,"OK",'Shipment Data'!$O$2:$O$1000,"No")=0,0,COUNTIFS('Shipment Data'!$P$2:$P$1000,$B47,'Shipment Data'!$Q$2:$Q$1000,"OK",'Shipment Data'!$O$2:$O$1000,"Yes")/(COUNTIFS('Shipment Data'!$P$2:$P$1000,$B47,'Shipment Data'!$Q$2:$Q$1000,"OK",'Shipment Data'!$O$2:$O$1000,"Yes")+COUNTIFS('Shipment Data'!$P$2:$P$1000,$B47,'Shipment Data'!$Q$2:$Q$1000,"OK",'Shipment Data'!$O$2:$O$1000,"No")))</f>
        <v>0.640625</v>
      </c>
    </row>
    <row r="48" spans="1:9" x14ac:dyDescent="0.3">
      <c r="A48" s="12" t="str">
        <f t="shared" si="0"/>
        <v>Sep 2026</v>
      </c>
      <c r="B48" s="17">
        <f>DATE(YEAR(B47),MONTH(B47)+1,1)</f>
        <v>46266</v>
      </c>
      <c r="C48" s="14">
        <f>COUNTIFS('Shipment Data'!$P$2:$P$1000,$B48,'Shipment Data'!$Q$2:$Q$1000,"OK")</f>
        <v>41</v>
      </c>
      <c r="D48" s="15">
        <f>SUMIFS('Shipment Data'!$I$2:$I$1000,'Shipment Data'!$P$2:$P$1000,$B48,'Shipment Data'!$Q$2:$Q$1000,"OK")</f>
        <v>1249619</v>
      </c>
      <c r="E48" s="16">
        <f>IF(COUNTIFS('Shipment Data'!$P$2:$P$1000,$B48,'Shipment Data'!$Q$2:$Q$1000,"OK",'Shipment Data'!$O$2:$O$1000,"Yes")+COUNTIFS('Shipment Data'!$P$2:$P$1000,$B48,'Shipment Data'!$Q$2:$Q$1000,"OK",'Shipment Data'!$O$2:$O$1000,"No")=0,0,COUNTIFS('Shipment Data'!$P$2:$P$1000,$B48,'Shipment Data'!$Q$2:$Q$1000,"OK",'Shipment Data'!$O$2:$O$1000,"Yes")/(COUNTIFS('Shipment Data'!$P$2:$P$1000,$B48,'Shipment Data'!$Q$2:$Q$1000,"OK",'Shipment Data'!$O$2:$O$1000,"Yes")+COUNTIFS('Shipment Data'!$P$2:$P$1000,$B48,'Shipment Data'!$Q$2:$Q$1000,"OK",'Shipment Data'!$O$2:$O$1000,"No")))</f>
        <v>0.73529411764705888</v>
      </c>
    </row>
    <row r="49" spans="1:5" x14ac:dyDescent="0.3">
      <c r="A49" s="18" t="s">
        <v>86</v>
      </c>
      <c r="B49" s="18"/>
      <c r="C49" s="19">
        <f>SUM(C43:C48)</f>
        <v>279</v>
      </c>
      <c r="D49" s="21">
        <f>SUM(D43:D48)</f>
        <v>7992228</v>
      </c>
      <c r="E49" s="20">
        <f>C5</f>
        <v>0.65441176470588236</v>
      </c>
    </row>
    <row r="50" spans="1:5" x14ac:dyDescent="0.3">
      <c r="A50" s="2" t="s">
        <v>87</v>
      </c>
    </row>
    <row r="52" spans="1:5" x14ac:dyDescent="0.3">
      <c r="A52" s="11" t="s">
        <v>88</v>
      </c>
    </row>
    <row r="53" spans="1:5" x14ac:dyDescent="0.3">
      <c r="A53" s="7" t="s">
        <v>89</v>
      </c>
      <c r="B53" s="7" t="s">
        <v>90</v>
      </c>
      <c r="C53" s="7" t="s">
        <v>77</v>
      </c>
      <c r="D53" s="7" t="s">
        <v>78</v>
      </c>
      <c r="E53" s="7" t="s">
        <v>79</v>
      </c>
    </row>
    <row r="54" spans="1:5" x14ac:dyDescent="0.3">
      <c r="A54" s="12" t="str">
        <f>Masters!A5</f>
        <v>DEL-JPR</v>
      </c>
      <c r="B54" s="12" t="str">
        <f>Masters!B5&amp;" - "&amp;Masters!C5</f>
        <v>Delhi - Jaipur</v>
      </c>
      <c r="C54" s="14">
        <f>COUNTIFS('Shipment Data'!$D$2:$D$1000,$A54,'Shipment Data'!$Q$2:$Q$1000,"OK")</f>
        <v>32</v>
      </c>
      <c r="D54" s="15">
        <f>SUMIFS('Shipment Data'!$I$2:$I$1000,'Shipment Data'!$D$2:$D$1000,$A54,'Shipment Data'!$Q$2:$Q$1000,"OK")</f>
        <v>600460</v>
      </c>
      <c r="E54" s="16">
        <f>IF(COUNTIFS('Shipment Data'!$D$2:$D$1000,$A54,'Shipment Data'!$Q$2:$Q$1000,"OK",'Shipment Data'!$O$2:$O$1000,"Yes")+COUNTIFS('Shipment Data'!$D$2:$D$1000,$A54,'Shipment Data'!$Q$2:$Q$1000,"OK",'Shipment Data'!$O$2:$O$1000,"No")=0,0,COUNTIFS('Shipment Data'!$D$2:$D$1000,$A54,'Shipment Data'!$Q$2:$Q$1000,"OK",'Shipment Data'!$O$2:$O$1000,"Yes")/(COUNTIFS('Shipment Data'!$D$2:$D$1000,$A54,'Shipment Data'!$Q$2:$Q$1000,"OK",'Shipment Data'!$O$2:$O$1000,"Yes")+COUNTIFS('Shipment Data'!$D$2:$D$1000,$A54,'Shipment Data'!$Q$2:$Q$1000,"OK",'Shipment Data'!$O$2:$O$1000,"No")))</f>
        <v>0.625</v>
      </c>
    </row>
    <row r="55" spans="1:5" x14ac:dyDescent="0.3">
      <c r="A55" s="12" t="str">
        <f>Masters!A6</f>
        <v>DEL-LKO</v>
      </c>
      <c r="B55" s="12" t="str">
        <f>Masters!B6&amp;" - "&amp;Masters!C6</f>
        <v>Delhi - Lucknow</v>
      </c>
      <c r="C55" s="14">
        <f>COUNTIFS('Shipment Data'!$D$2:$D$1000,$A55,'Shipment Data'!$Q$2:$Q$1000,"OK")</f>
        <v>28</v>
      </c>
      <c r="D55" s="15">
        <f>SUMIFS('Shipment Data'!$I$2:$I$1000,'Shipment Data'!$D$2:$D$1000,$A55,'Shipment Data'!$Q$2:$Q$1000,"OK")</f>
        <v>661648</v>
      </c>
      <c r="E55" s="16">
        <f>IF(COUNTIFS('Shipment Data'!$D$2:$D$1000,$A55,'Shipment Data'!$Q$2:$Q$1000,"OK",'Shipment Data'!$O$2:$O$1000,"Yes")+COUNTIFS('Shipment Data'!$D$2:$D$1000,$A55,'Shipment Data'!$Q$2:$Q$1000,"OK",'Shipment Data'!$O$2:$O$1000,"No")=0,0,COUNTIFS('Shipment Data'!$D$2:$D$1000,$A55,'Shipment Data'!$Q$2:$Q$1000,"OK",'Shipment Data'!$O$2:$O$1000,"Yes")/(COUNTIFS('Shipment Data'!$D$2:$D$1000,$A55,'Shipment Data'!$Q$2:$Q$1000,"OK",'Shipment Data'!$O$2:$O$1000,"Yes")+COUNTIFS('Shipment Data'!$D$2:$D$1000,$A55,'Shipment Data'!$Q$2:$Q$1000,"OK",'Shipment Data'!$O$2:$O$1000,"No")))</f>
        <v>0.69230769230769229</v>
      </c>
    </row>
    <row r="56" spans="1:5" x14ac:dyDescent="0.3">
      <c r="A56" s="12" t="str">
        <f>Masters!A7</f>
        <v>DEL-CHD</v>
      </c>
      <c r="B56" s="12" t="str">
        <f>Masters!B7&amp;" - "&amp;Masters!C7</f>
        <v>Delhi - Chandigarh</v>
      </c>
      <c r="C56" s="14">
        <f>COUNTIFS('Shipment Data'!$D$2:$D$1000,$A56,'Shipment Data'!$Q$2:$Q$1000,"OK")</f>
        <v>24</v>
      </c>
      <c r="D56" s="15">
        <f>SUMIFS('Shipment Data'!$I$2:$I$1000,'Shipment Data'!$D$2:$D$1000,$A56,'Shipment Data'!$Q$2:$Q$1000,"OK")</f>
        <v>322350</v>
      </c>
      <c r="E56" s="16">
        <f>IF(COUNTIFS('Shipment Data'!$D$2:$D$1000,$A56,'Shipment Data'!$Q$2:$Q$1000,"OK",'Shipment Data'!$O$2:$O$1000,"Yes")+COUNTIFS('Shipment Data'!$D$2:$D$1000,$A56,'Shipment Data'!$Q$2:$Q$1000,"OK",'Shipment Data'!$O$2:$O$1000,"No")=0,0,COUNTIFS('Shipment Data'!$D$2:$D$1000,$A56,'Shipment Data'!$Q$2:$Q$1000,"OK",'Shipment Data'!$O$2:$O$1000,"Yes")/(COUNTIFS('Shipment Data'!$D$2:$D$1000,$A56,'Shipment Data'!$Q$2:$Q$1000,"OK",'Shipment Data'!$O$2:$O$1000,"Yes")+COUNTIFS('Shipment Data'!$D$2:$D$1000,$A56,'Shipment Data'!$Q$2:$Q$1000,"OK",'Shipment Data'!$O$2:$O$1000,"No")))</f>
        <v>0.70833333333333337</v>
      </c>
    </row>
    <row r="57" spans="1:5" x14ac:dyDescent="0.3">
      <c r="A57" s="12" t="str">
        <f>Masters!A8</f>
        <v>DEL-AMD</v>
      </c>
      <c r="B57" s="12" t="str">
        <f>Masters!B8&amp;" - "&amp;Masters!C8</f>
        <v>Delhi - Ahmedabad</v>
      </c>
      <c r="C57" s="14">
        <f>COUNTIFS('Shipment Data'!$D$2:$D$1000,$A57,'Shipment Data'!$Q$2:$Q$1000,"OK")</f>
        <v>20</v>
      </c>
      <c r="D57" s="15">
        <f>SUMIFS('Shipment Data'!$I$2:$I$1000,'Shipment Data'!$D$2:$D$1000,$A57,'Shipment Data'!$Q$2:$Q$1000,"OK")</f>
        <v>624975</v>
      </c>
      <c r="E57" s="16">
        <f>IF(COUNTIFS('Shipment Data'!$D$2:$D$1000,$A57,'Shipment Data'!$Q$2:$Q$1000,"OK",'Shipment Data'!$O$2:$O$1000,"Yes")+COUNTIFS('Shipment Data'!$D$2:$D$1000,$A57,'Shipment Data'!$Q$2:$Q$1000,"OK",'Shipment Data'!$O$2:$O$1000,"No")=0,0,COUNTIFS('Shipment Data'!$D$2:$D$1000,$A57,'Shipment Data'!$Q$2:$Q$1000,"OK",'Shipment Data'!$O$2:$O$1000,"Yes")/(COUNTIFS('Shipment Data'!$D$2:$D$1000,$A57,'Shipment Data'!$Q$2:$Q$1000,"OK",'Shipment Data'!$O$2:$O$1000,"Yes")+COUNTIFS('Shipment Data'!$D$2:$D$1000,$A57,'Shipment Data'!$Q$2:$Q$1000,"OK",'Shipment Data'!$O$2:$O$1000,"No")))</f>
        <v>0.65</v>
      </c>
    </row>
    <row r="58" spans="1:5" x14ac:dyDescent="0.3">
      <c r="A58" s="12" t="str">
        <f>Masters!A9</f>
        <v>DEL-BOM</v>
      </c>
      <c r="B58" s="12" t="str">
        <f>Masters!B9&amp;" - "&amp;Masters!C9</f>
        <v>Delhi - Mumbai</v>
      </c>
      <c r="C58" s="14">
        <f>COUNTIFS('Shipment Data'!$D$2:$D$1000,$A58,'Shipment Data'!$Q$2:$Q$1000,"OK")</f>
        <v>29</v>
      </c>
      <c r="D58" s="15">
        <f>SUMIFS('Shipment Data'!$I$2:$I$1000,'Shipment Data'!$D$2:$D$1000,$A58,'Shipment Data'!$Q$2:$Q$1000,"OK")</f>
        <v>1468700</v>
      </c>
      <c r="E58" s="16">
        <f>IF(COUNTIFS('Shipment Data'!$D$2:$D$1000,$A58,'Shipment Data'!$Q$2:$Q$1000,"OK",'Shipment Data'!$O$2:$O$1000,"Yes")+COUNTIFS('Shipment Data'!$D$2:$D$1000,$A58,'Shipment Data'!$Q$2:$Q$1000,"OK",'Shipment Data'!$O$2:$O$1000,"No")=0,0,COUNTIFS('Shipment Data'!$D$2:$D$1000,$A58,'Shipment Data'!$Q$2:$Q$1000,"OK",'Shipment Data'!$O$2:$O$1000,"Yes")/(COUNTIFS('Shipment Data'!$D$2:$D$1000,$A58,'Shipment Data'!$Q$2:$Q$1000,"OK",'Shipment Data'!$O$2:$O$1000,"Yes")+COUNTIFS('Shipment Data'!$D$2:$D$1000,$A58,'Shipment Data'!$Q$2:$Q$1000,"OK",'Shipment Data'!$O$2:$O$1000,"No")))</f>
        <v>0.6428571428571429</v>
      </c>
    </row>
    <row r="59" spans="1:5" x14ac:dyDescent="0.3">
      <c r="A59" s="12" t="str">
        <f>Masters!A10</f>
        <v>DEL-CCU</v>
      </c>
      <c r="B59" s="12" t="str">
        <f>Masters!B10&amp;" - "&amp;Masters!C10</f>
        <v>Delhi - Kolkata</v>
      </c>
      <c r="C59" s="14">
        <f>COUNTIFS('Shipment Data'!$D$2:$D$1000,$A59,'Shipment Data'!$Q$2:$Q$1000,"OK")</f>
        <v>23</v>
      </c>
      <c r="D59" s="15">
        <f>SUMIFS('Shipment Data'!$I$2:$I$1000,'Shipment Data'!$D$2:$D$1000,$A59,'Shipment Data'!$Q$2:$Q$1000,"OK")</f>
        <v>1630200</v>
      </c>
      <c r="E59" s="16">
        <f>IF(COUNTIFS('Shipment Data'!$D$2:$D$1000,$A59,'Shipment Data'!$Q$2:$Q$1000,"OK",'Shipment Data'!$O$2:$O$1000,"Yes")+COUNTIFS('Shipment Data'!$D$2:$D$1000,$A59,'Shipment Data'!$Q$2:$Q$1000,"OK",'Shipment Data'!$O$2:$O$1000,"No")=0,0,COUNTIFS('Shipment Data'!$D$2:$D$1000,$A59,'Shipment Data'!$Q$2:$Q$1000,"OK",'Shipment Data'!$O$2:$O$1000,"Yes")/(COUNTIFS('Shipment Data'!$D$2:$D$1000,$A59,'Shipment Data'!$Q$2:$Q$1000,"OK",'Shipment Data'!$O$2:$O$1000,"Yes")+COUNTIFS('Shipment Data'!$D$2:$D$1000,$A59,'Shipment Data'!$Q$2:$Q$1000,"OK",'Shipment Data'!$O$2:$O$1000,"No")))</f>
        <v>0.5714285714285714</v>
      </c>
    </row>
    <row r="60" spans="1:5" x14ac:dyDescent="0.3">
      <c r="A60" s="12" t="str">
        <f>Masters!A11</f>
        <v>DEL-KNP</v>
      </c>
      <c r="B60" s="12" t="str">
        <f>Masters!B11&amp;" - "&amp;Masters!C11</f>
        <v>Delhi - Kanpur</v>
      </c>
      <c r="C60" s="14">
        <f>COUNTIFS('Shipment Data'!$D$2:$D$1000,$A60,'Shipment Data'!$Q$2:$Q$1000,"OK")</f>
        <v>20</v>
      </c>
      <c r="D60" s="15">
        <f>SUMIFS('Shipment Data'!$I$2:$I$1000,'Shipment Data'!$D$2:$D$1000,$A60,'Shipment Data'!$Q$2:$Q$1000,"OK")</f>
        <v>432045</v>
      </c>
      <c r="E60" s="16">
        <f>IF(COUNTIFS('Shipment Data'!$D$2:$D$1000,$A60,'Shipment Data'!$Q$2:$Q$1000,"OK",'Shipment Data'!$O$2:$O$1000,"Yes")+COUNTIFS('Shipment Data'!$D$2:$D$1000,$A60,'Shipment Data'!$Q$2:$Q$1000,"OK",'Shipment Data'!$O$2:$O$1000,"No")=0,0,COUNTIFS('Shipment Data'!$D$2:$D$1000,$A60,'Shipment Data'!$Q$2:$Q$1000,"OK",'Shipment Data'!$O$2:$O$1000,"Yes")/(COUNTIFS('Shipment Data'!$D$2:$D$1000,$A60,'Shipment Data'!$Q$2:$Q$1000,"OK",'Shipment Data'!$O$2:$O$1000,"Yes")+COUNTIFS('Shipment Data'!$D$2:$D$1000,$A60,'Shipment Data'!$Q$2:$Q$1000,"OK",'Shipment Data'!$O$2:$O$1000,"No")))</f>
        <v>0.8</v>
      </c>
    </row>
    <row r="61" spans="1:5" x14ac:dyDescent="0.3">
      <c r="A61" s="12" t="str">
        <f>Masters!A12</f>
        <v>DEL-AGR</v>
      </c>
      <c r="B61" s="12" t="str">
        <f>Masters!B12&amp;" - "&amp;Masters!C12</f>
        <v>Delhi - Agra</v>
      </c>
      <c r="C61" s="14">
        <f>COUNTIFS('Shipment Data'!$D$2:$D$1000,$A61,'Shipment Data'!$Q$2:$Q$1000,"OK")</f>
        <v>18</v>
      </c>
      <c r="D61" s="15">
        <f>SUMIFS('Shipment Data'!$I$2:$I$1000,'Shipment Data'!$D$2:$D$1000,$A61,'Shipment Data'!$Q$2:$Q$1000,"OK")</f>
        <v>285628</v>
      </c>
      <c r="E61" s="16">
        <f>IF(COUNTIFS('Shipment Data'!$D$2:$D$1000,$A61,'Shipment Data'!$Q$2:$Q$1000,"OK",'Shipment Data'!$O$2:$O$1000,"Yes")+COUNTIFS('Shipment Data'!$D$2:$D$1000,$A61,'Shipment Data'!$Q$2:$Q$1000,"OK",'Shipment Data'!$O$2:$O$1000,"No")=0,0,COUNTIFS('Shipment Data'!$D$2:$D$1000,$A61,'Shipment Data'!$Q$2:$Q$1000,"OK",'Shipment Data'!$O$2:$O$1000,"Yes")/(COUNTIFS('Shipment Data'!$D$2:$D$1000,$A61,'Shipment Data'!$Q$2:$Q$1000,"OK",'Shipment Data'!$O$2:$O$1000,"Yes")+COUNTIFS('Shipment Data'!$D$2:$D$1000,$A61,'Shipment Data'!$Q$2:$Q$1000,"OK",'Shipment Data'!$O$2:$O$1000,"No")))</f>
        <v>0.72222222222222221</v>
      </c>
    </row>
    <row r="62" spans="1:5" x14ac:dyDescent="0.3">
      <c r="A62" s="12" t="str">
        <f>Masters!A13</f>
        <v>GZB-MRT</v>
      </c>
      <c r="B62" s="12" t="str">
        <f>Masters!B13&amp;" - "&amp;Masters!C13</f>
        <v>Ghaziabad - Meerut</v>
      </c>
      <c r="C62" s="14">
        <f>COUNTIFS('Shipment Data'!$D$2:$D$1000,$A62,'Shipment Data'!$Q$2:$Q$1000,"OK")</f>
        <v>33</v>
      </c>
      <c r="D62" s="15">
        <f>SUMIFS('Shipment Data'!$I$2:$I$1000,'Shipment Data'!$D$2:$D$1000,$A62,'Shipment Data'!$Q$2:$Q$1000,"OK")</f>
        <v>350802</v>
      </c>
      <c r="E62" s="16">
        <f>IF(COUNTIFS('Shipment Data'!$D$2:$D$1000,$A62,'Shipment Data'!$Q$2:$Q$1000,"OK",'Shipment Data'!$O$2:$O$1000,"Yes")+COUNTIFS('Shipment Data'!$D$2:$D$1000,$A62,'Shipment Data'!$Q$2:$Q$1000,"OK",'Shipment Data'!$O$2:$O$1000,"No")=0,0,COUNTIFS('Shipment Data'!$D$2:$D$1000,$A62,'Shipment Data'!$Q$2:$Q$1000,"OK",'Shipment Data'!$O$2:$O$1000,"Yes")/(COUNTIFS('Shipment Data'!$D$2:$D$1000,$A62,'Shipment Data'!$Q$2:$Q$1000,"OK",'Shipment Data'!$O$2:$O$1000,"Yes")+COUNTIFS('Shipment Data'!$D$2:$D$1000,$A62,'Shipment Data'!$Q$2:$Q$1000,"OK",'Shipment Data'!$O$2:$O$1000,"No")))</f>
        <v>0.59375</v>
      </c>
    </row>
    <row r="63" spans="1:5" x14ac:dyDescent="0.3">
      <c r="A63" s="12" t="str">
        <f>Masters!A14</f>
        <v>DEL-DED</v>
      </c>
      <c r="B63" s="12" t="str">
        <f>Masters!B14&amp;" - "&amp;Masters!C14</f>
        <v>Delhi - Dehradun</v>
      </c>
      <c r="C63" s="14">
        <f>COUNTIFS('Shipment Data'!$D$2:$D$1000,$A63,'Shipment Data'!$Q$2:$Q$1000,"OK")</f>
        <v>16</v>
      </c>
      <c r="D63" s="15">
        <f>SUMIFS('Shipment Data'!$I$2:$I$1000,'Shipment Data'!$D$2:$D$1000,$A63,'Shipment Data'!$Q$2:$Q$1000,"OK")</f>
        <v>275680</v>
      </c>
      <c r="E63" s="16">
        <f>IF(COUNTIFS('Shipment Data'!$D$2:$D$1000,$A63,'Shipment Data'!$Q$2:$Q$1000,"OK",'Shipment Data'!$O$2:$O$1000,"Yes")+COUNTIFS('Shipment Data'!$D$2:$D$1000,$A63,'Shipment Data'!$Q$2:$Q$1000,"OK",'Shipment Data'!$O$2:$O$1000,"No")=0,0,COUNTIFS('Shipment Data'!$D$2:$D$1000,$A63,'Shipment Data'!$Q$2:$Q$1000,"OK",'Shipment Data'!$O$2:$O$1000,"Yes")/(COUNTIFS('Shipment Data'!$D$2:$D$1000,$A63,'Shipment Data'!$Q$2:$Q$1000,"OK",'Shipment Data'!$O$2:$O$1000,"Yes")+COUNTIFS('Shipment Data'!$D$2:$D$1000,$A63,'Shipment Data'!$Q$2:$Q$1000,"OK",'Shipment Data'!$O$2:$O$1000,"No")))</f>
        <v>0.625</v>
      </c>
    </row>
    <row r="64" spans="1:5" x14ac:dyDescent="0.3">
      <c r="A64" s="12" t="str">
        <f>Masters!A15</f>
        <v>DEL-BPL</v>
      </c>
      <c r="B64" s="12" t="str">
        <f>Masters!B15&amp;" - "&amp;Masters!C15</f>
        <v>Delhi - Bhopal</v>
      </c>
      <c r="C64" s="14">
        <f>COUNTIFS('Shipment Data'!$D$2:$D$1000,$A64,'Shipment Data'!$Q$2:$Q$1000,"OK")</f>
        <v>23</v>
      </c>
      <c r="D64" s="15">
        <f>SUMIFS('Shipment Data'!$I$2:$I$1000,'Shipment Data'!$D$2:$D$1000,$A64,'Shipment Data'!$Q$2:$Q$1000,"OK")</f>
        <v>873360</v>
      </c>
      <c r="E64" s="16">
        <f>IF(COUNTIFS('Shipment Data'!$D$2:$D$1000,$A64,'Shipment Data'!$Q$2:$Q$1000,"OK",'Shipment Data'!$O$2:$O$1000,"Yes")+COUNTIFS('Shipment Data'!$D$2:$D$1000,$A64,'Shipment Data'!$Q$2:$Q$1000,"OK",'Shipment Data'!$O$2:$O$1000,"No")=0,0,COUNTIFS('Shipment Data'!$D$2:$D$1000,$A64,'Shipment Data'!$Q$2:$Q$1000,"OK",'Shipment Data'!$O$2:$O$1000,"Yes")/(COUNTIFS('Shipment Data'!$D$2:$D$1000,$A64,'Shipment Data'!$Q$2:$Q$1000,"OK",'Shipment Data'!$O$2:$O$1000,"Yes")+COUNTIFS('Shipment Data'!$D$2:$D$1000,$A64,'Shipment Data'!$Q$2:$Q$1000,"OK",'Shipment Data'!$O$2:$O$1000,"No")))</f>
        <v>0.65217391304347827</v>
      </c>
    </row>
    <row r="65" spans="1:5" x14ac:dyDescent="0.3">
      <c r="A65" s="12" t="str">
        <f>Masters!A16</f>
        <v>DEL-IDR</v>
      </c>
      <c r="B65" s="12" t="str">
        <f>Masters!B16&amp;" - "&amp;Masters!C16</f>
        <v>Delhi - Indore</v>
      </c>
      <c r="C65" s="14">
        <f>COUNTIFS('Shipment Data'!$D$2:$D$1000,$A65,'Shipment Data'!$Q$2:$Q$1000,"OK")</f>
        <v>13</v>
      </c>
      <c r="D65" s="15">
        <f>SUMIFS('Shipment Data'!$I$2:$I$1000,'Shipment Data'!$D$2:$D$1000,$A65,'Shipment Data'!$Q$2:$Q$1000,"OK")</f>
        <v>466380</v>
      </c>
      <c r="E65" s="16">
        <f>IF(COUNTIFS('Shipment Data'!$D$2:$D$1000,$A65,'Shipment Data'!$Q$2:$Q$1000,"OK",'Shipment Data'!$O$2:$O$1000,"Yes")+COUNTIFS('Shipment Data'!$D$2:$D$1000,$A65,'Shipment Data'!$Q$2:$Q$1000,"OK",'Shipment Data'!$O$2:$O$1000,"No")=0,0,COUNTIFS('Shipment Data'!$D$2:$D$1000,$A65,'Shipment Data'!$Q$2:$Q$1000,"OK",'Shipment Data'!$O$2:$O$1000,"Yes")/(COUNTIFS('Shipment Data'!$D$2:$D$1000,$A65,'Shipment Data'!$Q$2:$Q$1000,"OK",'Shipment Data'!$O$2:$O$1000,"Yes")+COUNTIFS('Shipment Data'!$D$2:$D$1000,$A65,'Shipment Data'!$Q$2:$Q$1000,"OK",'Shipment Data'!$O$2:$O$1000,"No")))</f>
        <v>0.58333333333333337</v>
      </c>
    </row>
    <row r="66" spans="1:5" x14ac:dyDescent="0.3">
      <c r="A66" s="18" t="s">
        <v>86</v>
      </c>
      <c r="B66" s="18"/>
      <c r="C66" s="19">
        <f>SUM(C54:C65)</f>
        <v>279</v>
      </c>
      <c r="D66" s="21">
        <f>SUM(D54:D65)</f>
        <v>7992228</v>
      </c>
      <c r="E66" s="20">
        <f>C5</f>
        <v>0.65441176470588236</v>
      </c>
    </row>
  </sheetData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  <pageSetUpPr fitToPage="1"/>
  </sheetPr>
  <dimension ref="A1:F49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22" customWidth="1"/>
    <col min="3" max="3" width="16" customWidth="1"/>
    <col min="4" max="4" width="18" customWidth="1"/>
    <col min="5" max="5" width="14" customWidth="1"/>
    <col min="6" max="6" width="16" customWidth="1"/>
  </cols>
  <sheetData>
    <row r="1" spans="1:2" ht="21" x14ac:dyDescent="0.4">
      <c r="A1" s="1" t="s">
        <v>91</v>
      </c>
    </row>
    <row r="2" spans="1:2" x14ac:dyDescent="0.3">
      <c r="A2" s="2" t="s">
        <v>92</v>
      </c>
    </row>
    <row r="3" spans="1:2" x14ac:dyDescent="0.3">
      <c r="A3" s="22" t="s">
        <v>93</v>
      </c>
      <c r="B3" s="23" t="s">
        <v>94</v>
      </c>
    </row>
    <row r="4" spans="1:2" x14ac:dyDescent="0.3">
      <c r="A4" s="22" t="s">
        <v>95</v>
      </c>
      <c r="B4" s="24">
        <v>46249</v>
      </c>
    </row>
    <row r="5" spans="1:2" x14ac:dyDescent="0.3">
      <c r="A5" s="22" t="s">
        <v>96</v>
      </c>
      <c r="B5" s="25">
        <f>IF(B3="Daily",B4,IF(B3="Weekly",B4-WEEKDAY(B4,2)+1,DATE(YEAR(B4),MONTH(B4),1)))</f>
        <v>46235</v>
      </c>
    </row>
    <row r="6" spans="1:2" x14ac:dyDescent="0.3">
      <c r="A6" s="22" t="s">
        <v>97</v>
      </c>
      <c r="B6" s="25">
        <f>IF(B3="Daily",B4,IF(B3="Weekly",B5+6,DATE(YEAR(B4),MONTH(B4)+1,0)))</f>
        <v>46265</v>
      </c>
    </row>
    <row r="8" spans="1:2" x14ac:dyDescent="0.3">
      <c r="A8" s="7" t="s">
        <v>98</v>
      </c>
      <c r="B8" s="7" t="s">
        <v>99</v>
      </c>
    </row>
    <row r="9" spans="1:2" x14ac:dyDescent="0.3">
      <c r="A9" s="12" t="s">
        <v>100</v>
      </c>
      <c r="B9" s="26">
        <f>COUNTIFS('Shipment Data'!$B$2:$B$1000,"&gt;="&amp;$B$5,'Shipment Data'!$B$2:$B$1000,"&lt;="&amp;$B$6,'Shipment Data'!$Q$2:$Q$1000,"OK")</f>
        <v>64</v>
      </c>
    </row>
    <row r="10" spans="1:2" x14ac:dyDescent="0.3">
      <c r="A10" s="12" t="s">
        <v>101</v>
      </c>
      <c r="B10" s="26">
        <f>SUMIFS('Shipment Data'!$G$2:$G$1000,'Shipment Data'!$B$2:$B$1000,"&gt;="&amp;$B$5,'Shipment Data'!$B$2:$B$1000,"&lt;="&amp;$B$6,'Shipment Data'!$Q$2:$Q$1000,"OK")</f>
        <v>309210</v>
      </c>
    </row>
    <row r="11" spans="1:2" x14ac:dyDescent="0.3">
      <c r="A11" s="12" t="s">
        <v>102</v>
      </c>
      <c r="B11" s="27">
        <f>SUMIFS('Shipment Data'!$I$2:$I$1000,'Shipment Data'!$B$2:$B$1000,"&gt;="&amp;$B$5,'Shipment Data'!$B$2:$B$1000,"&lt;="&amp;$B$6,'Shipment Data'!$Q$2:$Q$1000,"OK")</f>
        <v>1561381</v>
      </c>
    </row>
    <row r="12" spans="1:2" x14ac:dyDescent="0.3">
      <c r="A12" s="12" t="s">
        <v>103</v>
      </c>
      <c r="B12" s="27">
        <f>IF(B9=0,0,B11/B9)</f>
        <v>24396.578125</v>
      </c>
    </row>
    <row r="13" spans="1:2" x14ac:dyDescent="0.3">
      <c r="A13" s="12" t="s">
        <v>104</v>
      </c>
      <c r="B13" s="26">
        <f>COUNTIFS('Shipment Data'!$B$2:$B$1000,"&gt;="&amp;$B$5,'Shipment Data'!$B$2:$B$1000,"&lt;="&amp;$B$6,'Shipment Data'!$Q$2:$Q$1000,"OK",'Shipment Data'!$M$2:$M$1000,"Delivered")</f>
        <v>64</v>
      </c>
    </row>
    <row r="14" spans="1:2" x14ac:dyDescent="0.3">
      <c r="A14" s="12" t="s">
        <v>105</v>
      </c>
      <c r="B14" s="26">
        <f>COUNTIFS('Shipment Data'!$B$2:$B$1000,"&gt;="&amp;$B$5,'Shipment Data'!$B$2:$B$1000,"&lt;="&amp;$B$6,'Shipment Data'!$Q$2:$Q$1000,"OK",'Shipment Data'!$M$2:$M$1000,"In Transit")</f>
        <v>0</v>
      </c>
    </row>
    <row r="15" spans="1:2" x14ac:dyDescent="0.3">
      <c r="A15" s="12" t="s">
        <v>106</v>
      </c>
      <c r="B15" s="26">
        <f>COUNTIFS('Shipment Data'!$B$2:$B$1000,"&gt;="&amp;$B$5,'Shipment Data'!$B$2:$B$1000,"&lt;="&amp;$B$6,'Shipment Data'!$Q$2:$Q$1000,"OK",'Shipment Data'!$O$2:$O$1000,"Yes")</f>
        <v>41</v>
      </c>
    </row>
    <row r="16" spans="1:2" x14ac:dyDescent="0.3">
      <c r="A16" s="12" t="s">
        <v>107</v>
      </c>
      <c r="B16" s="26">
        <f>COUNTIFS('Shipment Data'!$B$2:$B$1000,"&gt;="&amp;$B$5,'Shipment Data'!$B$2:$B$1000,"&lt;="&amp;$B$6,'Shipment Data'!$Q$2:$Q$1000,"OK",'Shipment Data'!$O$2:$O$1000,"No")</f>
        <v>23</v>
      </c>
    </row>
    <row r="17" spans="1:6" x14ac:dyDescent="0.3">
      <c r="A17" s="12" t="s">
        <v>66</v>
      </c>
      <c r="B17" s="28">
        <f>IF(B15+B16=0,"n/a",B15/(B15+B16))</f>
        <v>0.640625</v>
      </c>
    </row>
    <row r="18" spans="1:6" x14ac:dyDescent="0.3">
      <c r="A18" s="12" t="s">
        <v>108</v>
      </c>
      <c r="B18" s="29">
        <f>IFERROR(AVERAGEIFS('Shipment Data'!$N$2:$N$1000,'Shipment Data'!$B$2:$B$1000,"&gt;="&amp;$B$5,'Shipment Data'!$B$2:$B$1000,"&lt;="&amp;$B$6,'Shipment Data'!$Q$2:$Q$1000,"OK",'Shipment Data'!$O$2:$O$1000,"No"),0)</f>
        <v>1.6956521739130435</v>
      </c>
    </row>
    <row r="19" spans="1:6" x14ac:dyDescent="0.3">
      <c r="A19" s="12" t="s">
        <v>109</v>
      </c>
      <c r="B19" s="26">
        <f>COUNTIFS('Shipment Data'!$B$2:$B$1000,"&gt;="&amp;$B$5,'Shipment Data'!$B$2:$B$1000,"&lt;="&amp;$B$6,'Shipment Data'!$Q$2:$Q$1000,"&lt;&gt;OK")</f>
        <v>6</v>
      </c>
    </row>
    <row r="22" spans="1:6" x14ac:dyDescent="0.3">
      <c r="A22" s="7" t="s">
        <v>110</v>
      </c>
      <c r="B22" s="7" t="s">
        <v>77</v>
      </c>
      <c r="C22" s="7" t="s">
        <v>111</v>
      </c>
      <c r="D22" s="7" t="s">
        <v>78</v>
      </c>
      <c r="E22" s="7" t="s">
        <v>79</v>
      </c>
      <c r="F22" s="7" t="s">
        <v>107</v>
      </c>
    </row>
    <row r="23" spans="1:6" x14ac:dyDescent="0.3">
      <c r="A23" s="12" t="str">
        <f>Masters!G5</f>
        <v>Shree Ganesh Traders</v>
      </c>
      <c r="B23" s="14">
        <f>COUNTIFS('Shipment Data'!$B$2:$B$1000,"&gt;="&amp;$B$5,'Shipment Data'!$B$2:$B$1000,"&lt;="&amp;$B$6,'Shipment Data'!$Q$2:$Q$1000,"OK",'Shipment Data'!$C$2:$C$1000,$A23)</f>
        <v>11</v>
      </c>
      <c r="C23" s="14">
        <f>SUMIFS('Shipment Data'!$G$2:$G$1000,'Shipment Data'!$B$2:$B$1000,"&gt;="&amp;$B$5,'Shipment Data'!$B$2:$B$1000,"&lt;="&amp;$B$6,'Shipment Data'!$Q$2:$Q$1000,"OK",'Shipment Data'!$C$2:$C$1000,$A23)</f>
        <v>60800</v>
      </c>
      <c r="D23" s="15">
        <f>SUMIFS('Shipment Data'!$I$2:$I$1000,'Shipment Data'!$B$2:$B$1000,"&gt;="&amp;$B$5,'Shipment Data'!$B$2:$B$1000,"&lt;="&amp;$B$6,'Shipment Data'!$Q$2:$Q$1000,"OK",'Shipment Data'!$C$2:$C$1000,$A23)</f>
        <v>341832</v>
      </c>
      <c r="E23" s="30">
        <f>IF(COUNTIFS('Shipment Data'!$B$2:$B$1000,"&gt;="&amp;$B$5,'Shipment Data'!$B$2:$B$1000,"&lt;="&amp;$B$6,'Shipment Data'!$Q$2:$Q$1000,"OK",'Shipment Data'!$C$2:$C$1000,$A23,'Shipment Data'!$O$2:$O$1000,"Yes")+F23=0,"n/a",COUNTIFS('Shipment Data'!$B$2:$B$1000,"&gt;="&amp;$B$5,'Shipment Data'!$B$2:$B$1000,"&lt;="&amp;$B$6,'Shipment Data'!$Q$2:$Q$1000,"OK",'Shipment Data'!$C$2:$C$1000,$A23,'Shipment Data'!$O$2:$O$1000,"Yes")/(COUNTIFS('Shipment Data'!$B$2:$B$1000,"&gt;="&amp;$B$5,'Shipment Data'!$B$2:$B$1000,"&lt;="&amp;$B$6,'Shipment Data'!$Q$2:$Q$1000,"OK",'Shipment Data'!$C$2:$C$1000,$A23,'Shipment Data'!$O$2:$O$1000,"Yes")+F23))</f>
        <v>0.63636363636363635</v>
      </c>
      <c r="F23" s="14">
        <f>COUNTIFS('Shipment Data'!$B$2:$B$1000,"&gt;="&amp;$B$5,'Shipment Data'!$B$2:$B$1000,"&lt;="&amp;$B$6,'Shipment Data'!$Q$2:$Q$1000,"OK",'Shipment Data'!$C$2:$C$1000,$A23,'Shipment Data'!$O$2:$O$1000,"No")</f>
        <v>4</v>
      </c>
    </row>
    <row r="24" spans="1:6" x14ac:dyDescent="0.3">
      <c r="A24" s="12" t="str">
        <f>Masters!G6</f>
        <v>Metro Fabrics Pvt Ltd</v>
      </c>
      <c r="B24" s="14">
        <f>COUNTIFS('Shipment Data'!$B$2:$B$1000,"&gt;="&amp;$B$5,'Shipment Data'!$B$2:$B$1000,"&lt;="&amp;$B$6,'Shipment Data'!$Q$2:$Q$1000,"OK",'Shipment Data'!$C$2:$C$1000,$A24)</f>
        <v>6</v>
      </c>
      <c r="C24" s="14">
        <f>SUMIFS('Shipment Data'!$G$2:$G$1000,'Shipment Data'!$B$2:$B$1000,"&gt;="&amp;$B$5,'Shipment Data'!$B$2:$B$1000,"&lt;="&amp;$B$6,'Shipment Data'!$Q$2:$Q$1000,"OK",'Shipment Data'!$C$2:$C$1000,$A24)</f>
        <v>21190</v>
      </c>
      <c r="D24" s="15">
        <f>SUMIFS('Shipment Data'!$I$2:$I$1000,'Shipment Data'!$B$2:$B$1000,"&gt;="&amp;$B$5,'Shipment Data'!$B$2:$B$1000,"&lt;="&amp;$B$6,'Shipment Data'!$Q$2:$Q$1000,"OK",'Shipment Data'!$C$2:$C$1000,$A24)</f>
        <v>93204</v>
      </c>
      <c r="E24" s="30">
        <f>IF(COUNTIFS('Shipment Data'!$B$2:$B$1000,"&gt;="&amp;$B$5,'Shipment Data'!$B$2:$B$1000,"&lt;="&amp;$B$6,'Shipment Data'!$Q$2:$Q$1000,"OK",'Shipment Data'!$C$2:$C$1000,$A24,'Shipment Data'!$O$2:$O$1000,"Yes")+F24=0,"n/a",COUNTIFS('Shipment Data'!$B$2:$B$1000,"&gt;="&amp;$B$5,'Shipment Data'!$B$2:$B$1000,"&lt;="&amp;$B$6,'Shipment Data'!$Q$2:$Q$1000,"OK",'Shipment Data'!$C$2:$C$1000,$A24,'Shipment Data'!$O$2:$O$1000,"Yes")/(COUNTIFS('Shipment Data'!$B$2:$B$1000,"&gt;="&amp;$B$5,'Shipment Data'!$B$2:$B$1000,"&lt;="&amp;$B$6,'Shipment Data'!$Q$2:$Q$1000,"OK",'Shipment Data'!$C$2:$C$1000,$A24,'Shipment Data'!$O$2:$O$1000,"Yes")+F24))</f>
        <v>0.66666666666666663</v>
      </c>
      <c r="F24" s="14">
        <f>COUNTIFS('Shipment Data'!$B$2:$B$1000,"&gt;="&amp;$B$5,'Shipment Data'!$B$2:$B$1000,"&lt;="&amp;$B$6,'Shipment Data'!$Q$2:$Q$1000,"OK",'Shipment Data'!$C$2:$C$1000,$A24,'Shipment Data'!$O$2:$O$1000,"No")</f>
        <v>2</v>
      </c>
    </row>
    <row r="25" spans="1:6" x14ac:dyDescent="0.3">
      <c r="A25" s="12" t="str">
        <f>Masters!G7</f>
        <v>Apex Electronics</v>
      </c>
      <c r="B25" s="14">
        <f>COUNTIFS('Shipment Data'!$B$2:$B$1000,"&gt;="&amp;$B$5,'Shipment Data'!$B$2:$B$1000,"&lt;="&amp;$B$6,'Shipment Data'!$Q$2:$Q$1000,"OK",'Shipment Data'!$C$2:$C$1000,$A25)</f>
        <v>12</v>
      </c>
      <c r="C25" s="14">
        <f>SUMIFS('Shipment Data'!$G$2:$G$1000,'Shipment Data'!$B$2:$B$1000,"&gt;="&amp;$B$5,'Shipment Data'!$B$2:$B$1000,"&lt;="&amp;$B$6,'Shipment Data'!$Q$2:$Q$1000,"OK",'Shipment Data'!$C$2:$C$1000,$A25)</f>
        <v>61430</v>
      </c>
      <c r="D25" s="15">
        <f>SUMIFS('Shipment Data'!$I$2:$I$1000,'Shipment Data'!$B$2:$B$1000,"&gt;="&amp;$B$5,'Shipment Data'!$B$2:$B$1000,"&lt;="&amp;$B$6,'Shipment Data'!$Q$2:$Q$1000,"OK",'Shipment Data'!$C$2:$C$1000,$A25)</f>
        <v>286056</v>
      </c>
      <c r="E25" s="30">
        <f>IF(COUNTIFS('Shipment Data'!$B$2:$B$1000,"&gt;="&amp;$B$5,'Shipment Data'!$B$2:$B$1000,"&lt;="&amp;$B$6,'Shipment Data'!$Q$2:$Q$1000,"OK",'Shipment Data'!$C$2:$C$1000,$A25,'Shipment Data'!$O$2:$O$1000,"Yes")+F25=0,"n/a",COUNTIFS('Shipment Data'!$B$2:$B$1000,"&gt;="&amp;$B$5,'Shipment Data'!$B$2:$B$1000,"&lt;="&amp;$B$6,'Shipment Data'!$Q$2:$Q$1000,"OK",'Shipment Data'!$C$2:$C$1000,$A25,'Shipment Data'!$O$2:$O$1000,"Yes")/(COUNTIFS('Shipment Data'!$B$2:$B$1000,"&gt;="&amp;$B$5,'Shipment Data'!$B$2:$B$1000,"&lt;="&amp;$B$6,'Shipment Data'!$Q$2:$Q$1000,"OK",'Shipment Data'!$C$2:$C$1000,$A25,'Shipment Data'!$O$2:$O$1000,"Yes")+F25))</f>
        <v>0.58333333333333337</v>
      </c>
      <c r="F25" s="14">
        <f>COUNTIFS('Shipment Data'!$B$2:$B$1000,"&gt;="&amp;$B$5,'Shipment Data'!$B$2:$B$1000,"&lt;="&amp;$B$6,'Shipment Data'!$Q$2:$Q$1000,"OK",'Shipment Data'!$C$2:$C$1000,$A25,'Shipment Data'!$O$2:$O$1000,"No")</f>
        <v>5</v>
      </c>
    </row>
    <row r="26" spans="1:6" x14ac:dyDescent="0.3">
      <c r="A26" s="12" t="str">
        <f>Masters!G8</f>
        <v>Sharma Agro Foods</v>
      </c>
      <c r="B26" s="14">
        <f>COUNTIFS('Shipment Data'!$B$2:$B$1000,"&gt;="&amp;$B$5,'Shipment Data'!$B$2:$B$1000,"&lt;="&amp;$B$6,'Shipment Data'!$Q$2:$Q$1000,"OK",'Shipment Data'!$C$2:$C$1000,$A26)</f>
        <v>12</v>
      </c>
      <c r="C26" s="14">
        <f>SUMIFS('Shipment Data'!$G$2:$G$1000,'Shipment Data'!$B$2:$B$1000,"&gt;="&amp;$B$5,'Shipment Data'!$B$2:$B$1000,"&lt;="&amp;$B$6,'Shipment Data'!$Q$2:$Q$1000,"OK",'Shipment Data'!$C$2:$C$1000,$A26)</f>
        <v>50990</v>
      </c>
      <c r="D26" s="15">
        <f>SUMIFS('Shipment Data'!$I$2:$I$1000,'Shipment Data'!$B$2:$B$1000,"&gt;="&amp;$B$5,'Shipment Data'!$B$2:$B$1000,"&lt;="&amp;$B$6,'Shipment Data'!$Q$2:$Q$1000,"OK",'Shipment Data'!$C$2:$C$1000,$A26)</f>
        <v>247709</v>
      </c>
      <c r="E26" s="30">
        <f>IF(COUNTIFS('Shipment Data'!$B$2:$B$1000,"&gt;="&amp;$B$5,'Shipment Data'!$B$2:$B$1000,"&lt;="&amp;$B$6,'Shipment Data'!$Q$2:$Q$1000,"OK",'Shipment Data'!$C$2:$C$1000,$A26,'Shipment Data'!$O$2:$O$1000,"Yes")+F26=0,"n/a",COUNTIFS('Shipment Data'!$B$2:$B$1000,"&gt;="&amp;$B$5,'Shipment Data'!$B$2:$B$1000,"&lt;="&amp;$B$6,'Shipment Data'!$Q$2:$Q$1000,"OK",'Shipment Data'!$C$2:$C$1000,$A26,'Shipment Data'!$O$2:$O$1000,"Yes")/(COUNTIFS('Shipment Data'!$B$2:$B$1000,"&gt;="&amp;$B$5,'Shipment Data'!$B$2:$B$1000,"&lt;="&amp;$B$6,'Shipment Data'!$Q$2:$Q$1000,"OK",'Shipment Data'!$C$2:$C$1000,$A26,'Shipment Data'!$O$2:$O$1000,"Yes")+F26))</f>
        <v>0.5</v>
      </c>
      <c r="F26" s="14">
        <f>COUNTIFS('Shipment Data'!$B$2:$B$1000,"&gt;="&amp;$B$5,'Shipment Data'!$B$2:$B$1000,"&lt;="&amp;$B$6,'Shipment Data'!$Q$2:$Q$1000,"OK",'Shipment Data'!$C$2:$C$1000,$A26,'Shipment Data'!$O$2:$O$1000,"No")</f>
        <v>6</v>
      </c>
    </row>
    <row r="27" spans="1:6" x14ac:dyDescent="0.3">
      <c r="A27" s="12" t="str">
        <f>Masters!G9</f>
        <v>Bharat Auto Components</v>
      </c>
      <c r="B27" s="14">
        <f>COUNTIFS('Shipment Data'!$B$2:$B$1000,"&gt;="&amp;$B$5,'Shipment Data'!$B$2:$B$1000,"&lt;="&amp;$B$6,'Shipment Data'!$Q$2:$Q$1000,"OK",'Shipment Data'!$C$2:$C$1000,$A27)</f>
        <v>9</v>
      </c>
      <c r="C27" s="14">
        <f>SUMIFS('Shipment Data'!$G$2:$G$1000,'Shipment Data'!$B$2:$B$1000,"&gt;="&amp;$B$5,'Shipment Data'!$B$2:$B$1000,"&lt;="&amp;$B$6,'Shipment Data'!$Q$2:$Q$1000,"OK",'Shipment Data'!$C$2:$C$1000,$A27)</f>
        <v>40430</v>
      </c>
      <c r="D27" s="15">
        <f>SUMIFS('Shipment Data'!$I$2:$I$1000,'Shipment Data'!$B$2:$B$1000,"&gt;="&amp;$B$5,'Shipment Data'!$B$2:$B$1000,"&lt;="&amp;$B$6,'Shipment Data'!$Q$2:$Q$1000,"OK",'Shipment Data'!$C$2:$C$1000,$A27)</f>
        <v>209757</v>
      </c>
      <c r="E27" s="30">
        <f>IF(COUNTIFS('Shipment Data'!$B$2:$B$1000,"&gt;="&amp;$B$5,'Shipment Data'!$B$2:$B$1000,"&lt;="&amp;$B$6,'Shipment Data'!$Q$2:$Q$1000,"OK",'Shipment Data'!$C$2:$C$1000,$A27,'Shipment Data'!$O$2:$O$1000,"Yes")+F27=0,"n/a",COUNTIFS('Shipment Data'!$B$2:$B$1000,"&gt;="&amp;$B$5,'Shipment Data'!$B$2:$B$1000,"&lt;="&amp;$B$6,'Shipment Data'!$Q$2:$Q$1000,"OK",'Shipment Data'!$C$2:$C$1000,$A27,'Shipment Data'!$O$2:$O$1000,"Yes")/(COUNTIFS('Shipment Data'!$B$2:$B$1000,"&gt;="&amp;$B$5,'Shipment Data'!$B$2:$B$1000,"&lt;="&amp;$B$6,'Shipment Data'!$Q$2:$Q$1000,"OK",'Shipment Data'!$C$2:$C$1000,$A27,'Shipment Data'!$O$2:$O$1000,"Yes")+F27))</f>
        <v>0.66666666666666663</v>
      </c>
      <c r="F27" s="14">
        <f>COUNTIFS('Shipment Data'!$B$2:$B$1000,"&gt;="&amp;$B$5,'Shipment Data'!$B$2:$B$1000,"&lt;="&amp;$B$6,'Shipment Data'!$Q$2:$Q$1000,"OK",'Shipment Data'!$C$2:$C$1000,$A27,'Shipment Data'!$O$2:$O$1000,"No")</f>
        <v>3</v>
      </c>
    </row>
    <row r="28" spans="1:6" x14ac:dyDescent="0.3">
      <c r="A28" s="12" t="str">
        <f>Masters!G10</f>
        <v>Kailash Pharma</v>
      </c>
      <c r="B28" s="14">
        <f>COUNTIFS('Shipment Data'!$B$2:$B$1000,"&gt;="&amp;$B$5,'Shipment Data'!$B$2:$B$1000,"&lt;="&amp;$B$6,'Shipment Data'!$Q$2:$Q$1000,"OK",'Shipment Data'!$C$2:$C$1000,$A28)</f>
        <v>4</v>
      </c>
      <c r="C28" s="14">
        <f>SUMIFS('Shipment Data'!$G$2:$G$1000,'Shipment Data'!$B$2:$B$1000,"&gt;="&amp;$B$5,'Shipment Data'!$B$2:$B$1000,"&lt;="&amp;$B$6,'Shipment Data'!$Q$2:$Q$1000,"OK",'Shipment Data'!$C$2:$C$1000,$A28)</f>
        <v>16700</v>
      </c>
      <c r="D28" s="15">
        <f>SUMIFS('Shipment Data'!$I$2:$I$1000,'Shipment Data'!$B$2:$B$1000,"&gt;="&amp;$B$5,'Shipment Data'!$B$2:$B$1000,"&lt;="&amp;$B$6,'Shipment Data'!$Q$2:$Q$1000,"OK",'Shipment Data'!$C$2:$C$1000,$A28)</f>
        <v>67310</v>
      </c>
      <c r="E28" s="30">
        <f>IF(COUNTIFS('Shipment Data'!$B$2:$B$1000,"&gt;="&amp;$B$5,'Shipment Data'!$B$2:$B$1000,"&lt;="&amp;$B$6,'Shipment Data'!$Q$2:$Q$1000,"OK",'Shipment Data'!$C$2:$C$1000,$A28,'Shipment Data'!$O$2:$O$1000,"Yes")+F28=0,"n/a",COUNTIFS('Shipment Data'!$B$2:$B$1000,"&gt;="&amp;$B$5,'Shipment Data'!$B$2:$B$1000,"&lt;="&amp;$B$6,'Shipment Data'!$Q$2:$Q$1000,"OK",'Shipment Data'!$C$2:$C$1000,$A28,'Shipment Data'!$O$2:$O$1000,"Yes")/(COUNTIFS('Shipment Data'!$B$2:$B$1000,"&gt;="&amp;$B$5,'Shipment Data'!$B$2:$B$1000,"&lt;="&amp;$B$6,'Shipment Data'!$Q$2:$Q$1000,"OK",'Shipment Data'!$C$2:$C$1000,$A28,'Shipment Data'!$O$2:$O$1000,"Yes")+F28))</f>
        <v>0.75</v>
      </c>
      <c r="F28" s="14">
        <f>COUNTIFS('Shipment Data'!$B$2:$B$1000,"&gt;="&amp;$B$5,'Shipment Data'!$B$2:$B$1000,"&lt;="&amp;$B$6,'Shipment Data'!$Q$2:$Q$1000,"OK",'Shipment Data'!$C$2:$C$1000,$A28,'Shipment Data'!$O$2:$O$1000,"No")</f>
        <v>1</v>
      </c>
    </row>
    <row r="29" spans="1:6" x14ac:dyDescent="0.3">
      <c r="A29" s="12" t="str">
        <f>Masters!G11</f>
        <v>Sunrise Furniture</v>
      </c>
      <c r="B29" s="14">
        <f>COUNTIFS('Shipment Data'!$B$2:$B$1000,"&gt;="&amp;$B$5,'Shipment Data'!$B$2:$B$1000,"&lt;="&amp;$B$6,'Shipment Data'!$Q$2:$Q$1000,"OK",'Shipment Data'!$C$2:$C$1000,$A29)</f>
        <v>4</v>
      </c>
      <c r="C29" s="14">
        <f>SUMIFS('Shipment Data'!$G$2:$G$1000,'Shipment Data'!$B$2:$B$1000,"&gt;="&amp;$B$5,'Shipment Data'!$B$2:$B$1000,"&lt;="&amp;$B$6,'Shipment Data'!$Q$2:$Q$1000,"OK",'Shipment Data'!$C$2:$C$1000,$A29)</f>
        <v>25130</v>
      </c>
      <c r="D29" s="15">
        <f>SUMIFS('Shipment Data'!$I$2:$I$1000,'Shipment Data'!$B$2:$B$1000,"&gt;="&amp;$B$5,'Shipment Data'!$B$2:$B$1000,"&lt;="&amp;$B$6,'Shipment Data'!$Q$2:$Q$1000,"OK",'Shipment Data'!$C$2:$C$1000,$A29)</f>
        <v>111173</v>
      </c>
      <c r="E29" s="30">
        <f>IF(COUNTIFS('Shipment Data'!$B$2:$B$1000,"&gt;="&amp;$B$5,'Shipment Data'!$B$2:$B$1000,"&lt;="&amp;$B$6,'Shipment Data'!$Q$2:$Q$1000,"OK",'Shipment Data'!$C$2:$C$1000,$A29,'Shipment Data'!$O$2:$O$1000,"Yes")+F29=0,"n/a",COUNTIFS('Shipment Data'!$B$2:$B$1000,"&gt;="&amp;$B$5,'Shipment Data'!$B$2:$B$1000,"&lt;="&amp;$B$6,'Shipment Data'!$Q$2:$Q$1000,"OK",'Shipment Data'!$C$2:$C$1000,$A29,'Shipment Data'!$O$2:$O$1000,"Yes")/(COUNTIFS('Shipment Data'!$B$2:$B$1000,"&gt;="&amp;$B$5,'Shipment Data'!$B$2:$B$1000,"&lt;="&amp;$B$6,'Shipment Data'!$Q$2:$Q$1000,"OK",'Shipment Data'!$C$2:$C$1000,$A29,'Shipment Data'!$O$2:$O$1000,"Yes")+F29))</f>
        <v>1</v>
      </c>
      <c r="F29" s="14">
        <f>COUNTIFS('Shipment Data'!$B$2:$B$1000,"&gt;="&amp;$B$5,'Shipment Data'!$B$2:$B$1000,"&lt;="&amp;$B$6,'Shipment Data'!$Q$2:$Q$1000,"OK",'Shipment Data'!$C$2:$C$1000,$A29,'Shipment Data'!$O$2:$O$1000,"No")</f>
        <v>0</v>
      </c>
    </row>
    <row r="30" spans="1:6" x14ac:dyDescent="0.3">
      <c r="A30" s="12" t="str">
        <f>Masters!G12</f>
        <v>Delta Packaging</v>
      </c>
      <c r="B30" s="14">
        <f>COUNTIFS('Shipment Data'!$B$2:$B$1000,"&gt;="&amp;$B$5,'Shipment Data'!$B$2:$B$1000,"&lt;="&amp;$B$6,'Shipment Data'!$Q$2:$Q$1000,"OK",'Shipment Data'!$C$2:$C$1000,$A30)</f>
        <v>2</v>
      </c>
      <c r="C30" s="14">
        <f>SUMIFS('Shipment Data'!$G$2:$G$1000,'Shipment Data'!$B$2:$B$1000,"&gt;="&amp;$B$5,'Shipment Data'!$B$2:$B$1000,"&lt;="&amp;$B$6,'Shipment Data'!$Q$2:$Q$1000,"OK",'Shipment Data'!$C$2:$C$1000,$A30)</f>
        <v>8900</v>
      </c>
      <c r="D30" s="15">
        <f>SUMIFS('Shipment Data'!$I$2:$I$1000,'Shipment Data'!$B$2:$B$1000,"&gt;="&amp;$B$5,'Shipment Data'!$B$2:$B$1000,"&lt;="&amp;$B$6,'Shipment Data'!$Q$2:$Q$1000,"OK",'Shipment Data'!$C$2:$C$1000,$A30)</f>
        <v>56920</v>
      </c>
      <c r="E30" s="30">
        <f>IF(COUNTIFS('Shipment Data'!$B$2:$B$1000,"&gt;="&amp;$B$5,'Shipment Data'!$B$2:$B$1000,"&lt;="&amp;$B$6,'Shipment Data'!$Q$2:$Q$1000,"OK",'Shipment Data'!$C$2:$C$1000,$A30,'Shipment Data'!$O$2:$O$1000,"Yes")+F30=0,"n/a",COUNTIFS('Shipment Data'!$B$2:$B$1000,"&gt;="&amp;$B$5,'Shipment Data'!$B$2:$B$1000,"&lt;="&amp;$B$6,'Shipment Data'!$Q$2:$Q$1000,"OK",'Shipment Data'!$C$2:$C$1000,$A30,'Shipment Data'!$O$2:$O$1000,"Yes")/(COUNTIFS('Shipment Data'!$B$2:$B$1000,"&gt;="&amp;$B$5,'Shipment Data'!$B$2:$B$1000,"&lt;="&amp;$B$6,'Shipment Data'!$Q$2:$Q$1000,"OK",'Shipment Data'!$C$2:$C$1000,$A30,'Shipment Data'!$O$2:$O$1000,"Yes")+F30))</f>
        <v>0</v>
      </c>
      <c r="F30" s="14">
        <f>COUNTIFS('Shipment Data'!$B$2:$B$1000,"&gt;="&amp;$B$5,'Shipment Data'!$B$2:$B$1000,"&lt;="&amp;$B$6,'Shipment Data'!$Q$2:$Q$1000,"OK",'Shipment Data'!$C$2:$C$1000,$A30,'Shipment Data'!$O$2:$O$1000,"No")</f>
        <v>2</v>
      </c>
    </row>
    <row r="31" spans="1:6" x14ac:dyDescent="0.3">
      <c r="A31" s="12" t="str">
        <f>Masters!G13</f>
        <v>Nova Home Appliances</v>
      </c>
      <c r="B31" s="14">
        <f>COUNTIFS('Shipment Data'!$B$2:$B$1000,"&gt;="&amp;$B$5,'Shipment Data'!$B$2:$B$1000,"&lt;="&amp;$B$6,'Shipment Data'!$Q$2:$Q$1000,"OK",'Shipment Data'!$C$2:$C$1000,$A31)</f>
        <v>4</v>
      </c>
      <c r="C31" s="14">
        <f>SUMIFS('Shipment Data'!$G$2:$G$1000,'Shipment Data'!$B$2:$B$1000,"&gt;="&amp;$B$5,'Shipment Data'!$B$2:$B$1000,"&lt;="&amp;$B$6,'Shipment Data'!$Q$2:$Q$1000,"OK",'Shipment Data'!$C$2:$C$1000,$A31)</f>
        <v>23640</v>
      </c>
      <c r="D31" s="15">
        <f>SUMIFS('Shipment Data'!$I$2:$I$1000,'Shipment Data'!$B$2:$B$1000,"&gt;="&amp;$B$5,'Shipment Data'!$B$2:$B$1000,"&lt;="&amp;$B$6,'Shipment Data'!$Q$2:$Q$1000,"OK",'Shipment Data'!$C$2:$C$1000,$A31)</f>
        <v>147420</v>
      </c>
      <c r="E31" s="30">
        <f>IF(COUNTIFS('Shipment Data'!$B$2:$B$1000,"&gt;="&amp;$B$5,'Shipment Data'!$B$2:$B$1000,"&lt;="&amp;$B$6,'Shipment Data'!$Q$2:$Q$1000,"OK",'Shipment Data'!$C$2:$C$1000,$A31,'Shipment Data'!$O$2:$O$1000,"Yes")+F31=0,"n/a",COUNTIFS('Shipment Data'!$B$2:$B$1000,"&gt;="&amp;$B$5,'Shipment Data'!$B$2:$B$1000,"&lt;="&amp;$B$6,'Shipment Data'!$Q$2:$Q$1000,"OK",'Shipment Data'!$C$2:$C$1000,$A31,'Shipment Data'!$O$2:$O$1000,"Yes")/(COUNTIFS('Shipment Data'!$B$2:$B$1000,"&gt;="&amp;$B$5,'Shipment Data'!$B$2:$B$1000,"&lt;="&amp;$B$6,'Shipment Data'!$Q$2:$Q$1000,"OK",'Shipment Data'!$C$2:$C$1000,$A31,'Shipment Data'!$O$2:$O$1000,"Yes")+F31))</f>
        <v>1</v>
      </c>
      <c r="F31" s="14">
        <f>COUNTIFS('Shipment Data'!$B$2:$B$1000,"&gt;="&amp;$B$5,'Shipment Data'!$B$2:$B$1000,"&lt;="&amp;$B$6,'Shipment Data'!$Q$2:$Q$1000,"OK",'Shipment Data'!$C$2:$C$1000,$A31,'Shipment Data'!$O$2:$O$1000,"No")</f>
        <v>0</v>
      </c>
    </row>
    <row r="32" spans="1:6" x14ac:dyDescent="0.3">
      <c r="A32" s="12" t="str">
        <f>Masters!G14</f>
        <v>Krishna Steel Works</v>
      </c>
      <c r="B32" s="14">
        <f>COUNTIFS('Shipment Data'!$B$2:$B$1000,"&gt;="&amp;$B$5,'Shipment Data'!$B$2:$B$1000,"&lt;="&amp;$B$6,'Shipment Data'!$Q$2:$Q$1000,"OK",'Shipment Data'!$C$2:$C$1000,$A32)</f>
        <v>0</v>
      </c>
      <c r="C32" s="14">
        <f>SUMIFS('Shipment Data'!$G$2:$G$1000,'Shipment Data'!$B$2:$B$1000,"&gt;="&amp;$B$5,'Shipment Data'!$B$2:$B$1000,"&lt;="&amp;$B$6,'Shipment Data'!$Q$2:$Q$1000,"OK",'Shipment Data'!$C$2:$C$1000,$A32)</f>
        <v>0</v>
      </c>
      <c r="D32" s="15">
        <f>SUMIFS('Shipment Data'!$I$2:$I$1000,'Shipment Data'!$B$2:$B$1000,"&gt;="&amp;$B$5,'Shipment Data'!$B$2:$B$1000,"&lt;="&amp;$B$6,'Shipment Data'!$Q$2:$Q$1000,"OK",'Shipment Data'!$C$2:$C$1000,$A32)</f>
        <v>0</v>
      </c>
      <c r="E32" s="30" t="str">
        <f>IF(COUNTIFS('Shipment Data'!$B$2:$B$1000,"&gt;="&amp;$B$5,'Shipment Data'!$B$2:$B$1000,"&lt;="&amp;$B$6,'Shipment Data'!$Q$2:$Q$1000,"OK",'Shipment Data'!$C$2:$C$1000,$A32,'Shipment Data'!$O$2:$O$1000,"Yes")+F32=0,"n/a",COUNTIFS('Shipment Data'!$B$2:$B$1000,"&gt;="&amp;$B$5,'Shipment Data'!$B$2:$B$1000,"&lt;="&amp;$B$6,'Shipment Data'!$Q$2:$Q$1000,"OK",'Shipment Data'!$C$2:$C$1000,$A32,'Shipment Data'!$O$2:$O$1000,"Yes")/(COUNTIFS('Shipment Data'!$B$2:$B$1000,"&gt;="&amp;$B$5,'Shipment Data'!$B$2:$B$1000,"&lt;="&amp;$B$6,'Shipment Data'!$Q$2:$Q$1000,"OK",'Shipment Data'!$C$2:$C$1000,$A32,'Shipment Data'!$O$2:$O$1000,"Yes")+F32))</f>
        <v>n/a</v>
      </c>
      <c r="F32" s="14">
        <f>COUNTIFS('Shipment Data'!$B$2:$B$1000,"&gt;="&amp;$B$5,'Shipment Data'!$B$2:$B$1000,"&lt;="&amp;$B$6,'Shipment Data'!$Q$2:$Q$1000,"OK",'Shipment Data'!$C$2:$C$1000,$A32,'Shipment Data'!$O$2:$O$1000,"No")</f>
        <v>0</v>
      </c>
    </row>
    <row r="33" spans="1:6" x14ac:dyDescent="0.3">
      <c r="A33" s="18" t="s">
        <v>86</v>
      </c>
      <c r="B33" s="19">
        <f>SUM(B23:B32)</f>
        <v>64</v>
      </c>
      <c r="C33" s="19">
        <f>SUM(C23:C32)</f>
        <v>309210</v>
      </c>
      <c r="D33" s="21">
        <f>SUM(D23:D32)</f>
        <v>1561381</v>
      </c>
      <c r="E33" s="31">
        <f>B17</f>
        <v>0.640625</v>
      </c>
      <c r="F33" s="19">
        <f>SUM(F23:F32)</f>
        <v>23</v>
      </c>
    </row>
    <row r="34" spans="1:6" x14ac:dyDescent="0.3">
      <c r="A34" s="2" t="s">
        <v>112</v>
      </c>
      <c r="F34" s="32">
        <f>B33-B9</f>
        <v>0</v>
      </c>
    </row>
    <row r="36" spans="1:6" x14ac:dyDescent="0.3">
      <c r="A36" s="7" t="s">
        <v>89</v>
      </c>
      <c r="B36" s="7" t="s">
        <v>90</v>
      </c>
      <c r="C36" s="7" t="s">
        <v>77</v>
      </c>
      <c r="D36" s="7" t="s">
        <v>78</v>
      </c>
      <c r="E36" s="7" t="s">
        <v>107</v>
      </c>
    </row>
    <row r="37" spans="1:6" x14ac:dyDescent="0.3">
      <c r="A37" s="12" t="str">
        <f>Masters!A5</f>
        <v>DEL-JPR</v>
      </c>
      <c r="B37" s="12" t="str">
        <f>Masters!B5&amp;" - "&amp;Masters!C5</f>
        <v>Delhi - Jaipur</v>
      </c>
      <c r="C37" s="14">
        <f>COUNTIFS('Shipment Data'!$B$2:$B$1000,"&gt;="&amp;$B$5,'Shipment Data'!$B$2:$B$1000,"&lt;="&amp;$B$6,'Shipment Data'!$Q$2:$Q$1000,"OK",'Shipment Data'!$D$2:$D$1000,$A37)</f>
        <v>12</v>
      </c>
      <c r="D37" s="15">
        <f>SUMIFS('Shipment Data'!$I$2:$I$1000,'Shipment Data'!$B$2:$B$1000,"&gt;="&amp;$B$5,'Shipment Data'!$B$2:$B$1000,"&lt;="&amp;$B$6,'Shipment Data'!$Q$2:$Q$1000,"OK",'Shipment Data'!$D$2:$D$1000,$A37)</f>
        <v>250320</v>
      </c>
      <c r="E37" s="14">
        <f>COUNTIFS('Shipment Data'!$B$2:$B$1000,"&gt;="&amp;$B$5,'Shipment Data'!$B$2:$B$1000,"&lt;="&amp;$B$6,'Shipment Data'!$Q$2:$Q$1000,"OK",'Shipment Data'!$D$2:$D$1000,$A37,'Shipment Data'!$O$2:$O$1000,"No")</f>
        <v>6</v>
      </c>
    </row>
    <row r="38" spans="1:6" x14ac:dyDescent="0.3">
      <c r="A38" s="12" t="str">
        <f>Masters!A6</f>
        <v>DEL-LKO</v>
      </c>
      <c r="B38" s="12" t="str">
        <f>Masters!B6&amp;" - "&amp;Masters!C6</f>
        <v>Delhi - Lucknow</v>
      </c>
      <c r="C38" s="14">
        <f>COUNTIFS('Shipment Data'!$B$2:$B$1000,"&gt;="&amp;$B$5,'Shipment Data'!$B$2:$B$1000,"&lt;="&amp;$B$6,'Shipment Data'!$Q$2:$Q$1000,"OK",'Shipment Data'!$D$2:$D$1000,$A38)</f>
        <v>7</v>
      </c>
      <c r="D38" s="15">
        <f>SUMIFS('Shipment Data'!$I$2:$I$1000,'Shipment Data'!$B$2:$B$1000,"&gt;="&amp;$B$5,'Shipment Data'!$B$2:$B$1000,"&lt;="&amp;$B$6,'Shipment Data'!$Q$2:$Q$1000,"OK",'Shipment Data'!$D$2:$D$1000,$A38)</f>
        <v>202904</v>
      </c>
      <c r="E38" s="14">
        <f>COUNTIFS('Shipment Data'!$B$2:$B$1000,"&gt;="&amp;$B$5,'Shipment Data'!$B$2:$B$1000,"&lt;="&amp;$B$6,'Shipment Data'!$Q$2:$Q$1000,"OK",'Shipment Data'!$D$2:$D$1000,$A38,'Shipment Data'!$O$2:$O$1000,"No")</f>
        <v>2</v>
      </c>
    </row>
    <row r="39" spans="1:6" x14ac:dyDescent="0.3">
      <c r="A39" s="12" t="str">
        <f>Masters!A7</f>
        <v>DEL-CHD</v>
      </c>
      <c r="B39" s="12" t="str">
        <f>Masters!B7&amp;" - "&amp;Masters!C7</f>
        <v>Delhi - Chandigarh</v>
      </c>
      <c r="C39" s="14">
        <f>COUNTIFS('Shipment Data'!$B$2:$B$1000,"&gt;="&amp;$B$5,'Shipment Data'!$B$2:$B$1000,"&lt;="&amp;$B$6,'Shipment Data'!$Q$2:$Q$1000,"OK",'Shipment Data'!$D$2:$D$1000,$A39)</f>
        <v>10</v>
      </c>
      <c r="D39" s="15">
        <f>SUMIFS('Shipment Data'!$I$2:$I$1000,'Shipment Data'!$B$2:$B$1000,"&gt;="&amp;$B$5,'Shipment Data'!$B$2:$B$1000,"&lt;="&amp;$B$6,'Shipment Data'!$Q$2:$Q$1000,"OK",'Shipment Data'!$D$2:$D$1000,$A39)</f>
        <v>120750</v>
      </c>
      <c r="E39" s="14">
        <f>COUNTIFS('Shipment Data'!$B$2:$B$1000,"&gt;="&amp;$B$5,'Shipment Data'!$B$2:$B$1000,"&lt;="&amp;$B$6,'Shipment Data'!$Q$2:$Q$1000,"OK",'Shipment Data'!$D$2:$D$1000,$A39,'Shipment Data'!$O$2:$O$1000,"No")</f>
        <v>1</v>
      </c>
    </row>
    <row r="40" spans="1:6" x14ac:dyDescent="0.3">
      <c r="A40" s="12" t="str">
        <f>Masters!A8</f>
        <v>DEL-AMD</v>
      </c>
      <c r="B40" s="12" t="str">
        <f>Masters!B8&amp;" - "&amp;Masters!C8</f>
        <v>Delhi - Ahmedabad</v>
      </c>
      <c r="C40" s="14">
        <f>COUNTIFS('Shipment Data'!$B$2:$B$1000,"&gt;="&amp;$B$5,'Shipment Data'!$B$2:$B$1000,"&lt;="&amp;$B$6,'Shipment Data'!$Q$2:$Q$1000,"OK",'Shipment Data'!$D$2:$D$1000,$A40)</f>
        <v>5</v>
      </c>
      <c r="D40" s="15">
        <f>SUMIFS('Shipment Data'!$I$2:$I$1000,'Shipment Data'!$B$2:$B$1000,"&gt;="&amp;$B$5,'Shipment Data'!$B$2:$B$1000,"&lt;="&amp;$B$6,'Shipment Data'!$Q$2:$Q$1000,"OK",'Shipment Data'!$D$2:$D$1000,$A40)</f>
        <v>133275</v>
      </c>
      <c r="E40" s="14">
        <f>COUNTIFS('Shipment Data'!$B$2:$B$1000,"&gt;="&amp;$B$5,'Shipment Data'!$B$2:$B$1000,"&lt;="&amp;$B$6,'Shipment Data'!$Q$2:$Q$1000,"OK",'Shipment Data'!$D$2:$D$1000,$A40,'Shipment Data'!$O$2:$O$1000,"No")</f>
        <v>2</v>
      </c>
    </row>
    <row r="41" spans="1:6" x14ac:dyDescent="0.3">
      <c r="A41" s="12" t="str">
        <f>Masters!A9</f>
        <v>DEL-BOM</v>
      </c>
      <c r="B41" s="12" t="str">
        <f>Masters!B9&amp;" - "&amp;Masters!C9</f>
        <v>Delhi - Mumbai</v>
      </c>
      <c r="C41" s="14">
        <f>COUNTIFS('Shipment Data'!$B$2:$B$1000,"&gt;="&amp;$B$5,'Shipment Data'!$B$2:$B$1000,"&lt;="&amp;$B$6,'Shipment Data'!$Q$2:$Q$1000,"OK",'Shipment Data'!$D$2:$D$1000,$A41)</f>
        <v>3</v>
      </c>
      <c r="D41" s="15">
        <f>SUMIFS('Shipment Data'!$I$2:$I$1000,'Shipment Data'!$B$2:$B$1000,"&gt;="&amp;$B$5,'Shipment Data'!$B$2:$B$1000,"&lt;="&amp;$B$6,'Shipment Data'!$Q$2:$Q$1000,"OK",'Shipment Data'!$D$2:$D$1000,$A41)</f>
        <v>125495</v>
      </c>
      <c r="E41" s="14">
        <f>COUNTIFS('Shipment Data'!$B$2:$B$1000,"&gt;="&amp;$B$5,'Shipment Data'!$B$2:$B$1000,"&lt;="&amp;$B$6,'Shipment Data'!$Q$2:$Q$1000,"OK",'Shipment Data'!$D$2:$D$1000,$A41,'Shipment Data'!$O$2:$O$1000,"No")</f>
        <v>2</v>
      </c>
    </row>
    <row r="42" spans="1:6" x14ac:dyDescent="0.3">
      <c r="A42" s="12" t="str">
        <f>Masters!A10</f>
        <v>DEL-CCU</v>
      </c>
      <c r="B42" s="12" t="str">
        <f>Masters!B10&amp;" - "&amp;Masters!C10</f>
        <v>Delhi - Kolkata</v>
      </c>
      <c r="C42" s="14">
        <f>COUNTIFS('Shipment Data'!$B$2:$B$1000,"&gt;="&amp;$B$5,'Shipment Data'!$B$2:$B$1000,"&lt;="&amp;$B$6,'Shipment Data'!$Q$2:$Q$1000,"OK",'Shipment Data'!$D$2:$D$1000,$A42)</f>
        <v>5</v>
      </c>
      <c r="D42" s="15">
        <f>SUMIFS('Shipment Data'!$I$2:$I$1000,'Shipment Data'!$B$2:$B$1000,"&gt;="&amp;$B$5,'Shipment Data'!$B$2:$B$1000,"&lt;="&amp;$B$6,'Shipment Data'!$Q$2:$Q$1000,"OK",'Shipment Data'!$D$2:$D$1000,$A42)</f>
        <v>286680</v>
      </c>
      <c r="E42" s="14">
        <f>COUNTIFS('Shipment Data'!$B$2:$B$1000,"&gt;="&amp;$B$5,'Shipment Data'!$B$2:$B$1000,"&lt;="&amp;$B$6,'Shipment Data'!$Q$2:$Q$1000,"OK",'Shipment Data'!$D$2:$D$1000,$A42,'Shipment Data'!$O$2:$O$1000,"No")</f>
        <v>2</v>
      </c>
    </row>
    <row r="43" spans="1:6" x14ac:dyDescent="0.3">
      <c r="A43" s="12" t="str">
        <f>Masters!A11</f>
        <v>DEL-KNP</v>
      </c>
      <c r="B43" s="12" t="str">
        <f>Masters!B11&amp;" - "&amp;Masters!C11</f>
        <v>Delhi - Kanpur</v>
      </c>
      <c r="C43" s="14">
        <f>COUNTIFS('Shipment Data'!$B$2:$B$1000,"&gt;="&amp;$B$5,'Shipment Data'!$B$2:$B$1000,"&lt;="&amp;$B$6,'Shipment Data'!$Q$2:$Q$1000,"OK",'Shipment Data'!$D$2:$D$1000,$A43)</f>
        <v>4</v>
      </c>
      <c r="D43" s="15">
        <f>SUMIFS('Shipment Data'!$I$2:$I$1000,'Shipment Data'!$B$2:$B$1000,"&gt;="&amp;$B$5,'Shipment Data'!$B$2:$B$1000,"&lt;="&amp;$B$6,'Shipment Data'!$Q$2:$Q$1000,"OK",'Shipment Data'!$D$2:$D$1000,$A43)</f>
        <v>104895</v>
      </c>
      <c r="E43" s="14">
        <f>COUNTIFS('Shipment Data'!$B$2:$B$1000,"&gt;="&amp;$B$5,'Shipment Data'!$B$2:$B$1000,"&lt;="&amp;$B$6,'Shipment Data'!$Q$2:$Q$1000,"OK",'Shipment Data'!$D$2:$D$1000,$A43,'Shipment Data'!$O$2:$O$1000,"No")</f>
        <v>1</v>
      </c>
    </row>
    <row r="44" spans="1:6" x14ac:dyDescent="0.3">
      <c r="A44" s="12" t="str">
        <f>Masters!A12</f>
        <v>DEL-AGR</v>
      </c>
      <c r="B44" s="12" t="str">
        <f>Masters!B12&amp;" - "&amp;Masters!C12</f>
        <v>Delhi - Agra</v>
      </c>
      <c r="C44" s="14">
        <f>COUNTIFS('Shipment Data'!$B$2:$B$1000,"&gt;="&amp;$B$5,'Shipment Data'!$B$2:$B$1000,"&lt;="&amp;$B$6,'Shipment Data'!$Q$2:$Q$1000,"OK",'Shipment Data'!$D$2:$D$1000,$A44)</f>
        <v>3</v>
      </c>
      <c r="D44" s="15">
        <f>SUMIFS('Shipment Data'!$I$2:$I$1000,'Shipment Data'!$B$2:$B$1000,"&gt;="&amp;$B$5,'Shipment Data'!$B$2:$B$1000,"&lt;="&amp;$B$6,'Shipment Data'!$Q$2:$Q$1000,"OK",'Shipment Data'!$D$2:$D$1000,$A44)</f>
        <v>53984</v>
      </c>
      <c r="E44" s="14">
        <f>COUNTIFS('Shipment Data'!$B$2:$B$1000,"&gt;="&amp;$B$5,'Shipment Data'!$B$2:$B$1000,"&lt;="&amp;$B$6,'Shipment Data'!$Q$2:$Q$1000,"OK",'Shipment Data'!$D$2:$D$1000,$A44,'Shipment Data'!$O$2:$O$1000,"No")</f>
        <v>1</v>
      </c>
    </row>
    <row r="45" spans="1:6" x14ac:dyDescent="0.3">
      <c r="A45" s="12" t="str">
        <f>Masters!A13</f>
        <v>GZB-MRT</v>
      </c>
      <c r="B45" s="12" t="str">
        <f>Masters!B13&amp;" - "&amp;Masters!C13</f>
        <v>Ghaziabad - Meerut</v>
      </c>
      <c r="C45" s="14">
        <f>COUNTIFS('Shipment Data'!$B$2:$B$1000,"&gt;="&amp;$B$5,'Shipment Data'!$B$2:$B$1000,"&lt;="&amp;$B$6,'Shipment Data'!$Q$2:$Q$1000,"OK",'Shipment Data'!$D$2:$D$1000,$A45)</f>
        <v>7</v>
      </c>
      <c r="D45" s="15">
        <f>SUMIFS('Shipment Data'!$I$2:$I$1000,'Shipment Data'!$B$2:$B$1000,"&gt;="&amp;$B$5,'Shipment Data'!$B$2:$B$1000,"&lt;="&amp;$B$6,'Shipment Data'!$Q$2:$Q$1000,"OK",'Shipment Data'!$D$2:$D$1000,$A45)</f>
        <v>53118</v>
      </c>
      <c r="E45" s="14">
        <f>COUNTIFS('Shipment Data'!$B$2:$B$1000,"&gt;="&amp;$B$5,'Shipment Data'!$B$2:$B$1000,"&lt;="&amp;$B$6,'Shipment Data'!$Q$2:$Q$1000,"OK",'Shipment Data'!$D$2:$D$1000,$A45,'Shipment Data'!$O$2:$O$1000,"No")</f>
        <v>2</v>
      </c>
    </row>
    <row r="46" spans="1:6" x14ac:dyDescent="0.3">
      <c r="A46" s="12" t="str">
        <f>Masters!A14</f>
        <v>DEL-DED</v>
      </c>
      <c r="B46" s="12" t="str">
        <f>Masters!B14&amp;" - "&amp;Masters!C14</f>
        <v>Delhi - Dehradun</v>
      </c>
      <c r="C46" s="14">
        <f>COUNTIFS('Shipment Data'!$B$2:$B$1000,"&gt;="&amp;$B$5,'Shipment Data'!$B$2:$B$1000,"&lt;="&amp;$B$6,'Shipment Data'!$Q$2:$Q$1000,"OK",'Shipment Data'!$D$2:$D$1000,$A46)</f>
        <v>2</v>
      </c>
      <c r="D46" s="15">
        <f>SUMIFS('Shipment Data'!$I$2:$I$1000,'Shipment Data'!$B$2:$B$1000,"&gt;="&amp;$B$5,'Shipment Data'!$B$2:$B$1000,"&lt;="&amp;$B$6,'Shipment Data'!$Q$2:$Q$1000,"OK",'Shipment Data'!$D$2:$D$1000,$A46)</f>
        <v>26120</v>
      </c>
      <c r="E46" s="14">
        <f>COUNTIFS('Shipment Data'!$B$2:$B$1000,"&gt;="&amp;$B$5,'Shipment Data'!$B$2:$B$1000,"&lt;="&amp;$B$6,'Shipment Data'!$Q$2:$Q$1000,"OK",'Shipment Data'!$D$2:$D$1000,$A46,'Shipment Data'!$O$2:$O$1000,"No")</f>
        <v>2</v>
      </c>
    </row>
    <row r="47" spans="1:6" x14ac:dyDescent="0.3">
      <c r="A47" s="12" t="str">
        <f>Masters!A15</f>
        <v>DEL-BPL</v>
      </c>
      <c r="B47" s="12" t="str">
        <f>Masters!B15&amp;" - "&amp;Masters!C15</f>
        <v>Delhi - Bhopal</v>
      </c>
      <c r="C47" s="14">
        <f>COUNTIFS('Shipment Data'!$B$2:$B$1000,"&gt;="&amp;$B$5,'Shipment Data'!$B$2:$B$1000,"&lt;="&amp;$B$6,'Shipment Data'!$Q$2:$Q$1000,"OK",'Shipment Data'!$D$2:$D$1000,$A47)</f>
        <v>4</v>
      </c>
      <c r="D47" s="15">
        <f>SUMIFS('Shipment Data'!$I$2:$I$1000,'Shipment Data'!$B$2:$B$1000,"&gt;="&amp;$B$5,'Shipment Data'!$B$2:$B$1000,"&lt;="&amp;$B$6,'Shipment Data'!$Q$2:$Q$1000,"OK",'Shipment Data'!$D$2:$D$1000,$A47)</f>
        <v>163520</v>
      </c>
      <c r="E47" s="14">
        <f>COUNTIFS('Shipment Data'!$B$2:$B$1000,"&gt;="&amp;$B$5,'Shipment Data'!$B$2:$B$1000,"&lt;="&amp;$B$6,'Shipment Data'!$Q$2:$Q$1000,"OK",'Shipment Data'!$D$2:$D$1000,$A47,'Shipment Data'!$O$2:$O$1000,"No")</f>
        <v>1</v>
      </c>
    </row>
    <row r="48" spans="1:6" x14ac:dyDescent="0.3">
      <c r="A48" s="12" t="str">
        <f>Masters!A16</f>
        <v>DEL-IDR</v>
      </c>
      <c r="B48" s="12" t="str">
        <f>Masters!B16&amp;" - "&amp;Masters!C16</f>
        <v>Delhi - Indore</v>
      </c>
      <c r="C48" s="14">
        <f>COUNTIFS('Shipment Data'!$B$2:$B$1000,"&gt;="&amp;$B$5,'Shipment Data'!$B$2:$B$1000,"&lt;="&amp;$B$6,'Shipment Data'!$Q$2:$Q$1000,"OK",'Shipment Data'!$D$2:$D$1000,$A48)</f>
        <v>2</v>
      </c>
      <c r="D48" s="15">
        <f>SUMIFS('Shipment Data'!$I$2:$I$1000,'Shipment Data'!$B$2:$B$1000,"&gt;="&amp;$B$5,'Shipment Data'!$B$2:$B$1000,"&lt;="&amp;$B$6,'Shipment Data'!$Q$2:$Q$1000,"OK",'Shipment Data'!$D$2:$D$1000,$A48)</f>
        <v>40320</v>
      </c>
      <c r="E48" s="14">
        <f>COUNTIFS('Shipment Data'!$B$2:$B$1000,"&gt;="&amp;$B$5,'Shipment Data'!$B$2:$B$1000,"&lt;="&amp;$B$6,'Shipment Data'!$Q$2:$Q$1000,"OK",'Shipment Data'!$D$2:$D$1000,$A48,'Shipment Data'!$O$2:$O$1000,"No")</f>
        <v>1</v>
      </c>
    </row>
    <row r="49" spans="1:5" x14ac:dyDescent="0.3">
      <c r="A49" s="18" t="s">
        <v>86</v>
      </c>
      <c r="B49" s="18"/>
      <c r="C49" s="19">
        <f>SUM(C37:C48)</f>
        <v>64</v>
      </c>
      <c r="D49" s="21">
        <f>SUM(D37:D48)</f>
        <v>1561381</v>
      </c>
      <c r="E49" s="19">
        <f>SUM(E37:E48)</f>
        <v>23</v>
      </c>
    </row>
  </sheetData>
  <dataValidations count="1">
    <dataValidation type="date" operator="greaterThan" showErrorMessage="1" errorTitle="Invalid date" error="Enter a valid date." sqref="B4">
      <formula1>43831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type" error="Choose Daily, Weekly or Monthly.">
          <x14:formula1>
            <xm:f>Masters!$U$5:$U$7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  <pageSetUpPr fitToPage="1"/>
  </sheetPr>
  <dimension ref="A1:Q30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6" sqref="A86"/>
    </sheetView>
  </sheetViews>
  <sheetFormatPr defaultColWidth="8.6640625" defaultRowHeight="14.4" x14ac:dyDescent="0.3"/>
  <cols>
    <col min="1" max="1" width="15" customWidth="1"/>
    <col min="2" max="2" width="13" customWidth="1"/>
    <col min="3" max="3" width="24" customWidth="1"/>
    <col min="4" max="5" width="12" customWidth="1"/>
    <col min="6" max="6" width="13" customWidth="1"/>
    <col min="7" max="7" width="12" customWidth="1"/>
    <col min="8" max="8" width="13" customWidth="1"/>
    <col min="9" max="10" width="16" customWidth="1"/>
    <col min="11" max="11" width="15" customWidth="1"/>
    <col min="12" max="13" width="14" customWidth="1"/>
    <col min="14" max="15" width="10" customWidth="1"/>
    <col min="16" max="16" width="11" customWidth="1"/>
    <col min="17" max="17" width="26" customWidth="1"/>
  </cols>
  <sheetData>
    <row r="1" spans="1:17" ht="31.5" customHeight="1" x14ac:dyDescent="0.3">
      <c r="A1" s="7" t="s">
        <v>113</v>
      </c>
      <c r="B1" s="7" t="s">
        <v>114</v>
      </c>
      <c r="C1" s="7" t="s">
        <v>110</v>
      </c>
      <c r="D1" s="7" t="s">
        <v>89</v>
      </c>
      <c r="E1" s="7" t="s">
        <v>115</v>
      </c>
      <c r="F1" s="7" t="s">
        <v>116</v>
      </c>
      <c r="G1" s="7" t="s">
        <v>111</v>
      </c>
      <c r="H1" s="7" t="s">
        <v>117</v>
      </c>
      <c r="I1" s="7" t="s">
        <v>118</v>
      </c>
      <c r="J1" s="7" t="s">
        <v>119</v>
      </c>
      <c r="K1" s="7" t="s">
        <v>120</v>
      </c>
      <c r="L1" s="7" t="s">
        <v>121</v>
      </c>
      <c r="M1" s="7" t="s">
        <v>122</v>
      </c>
      <c r="N1" s="7" t="s">
        <v>123</v>
      </c>
      <c r="O1" s="7" t="s">
        <v>124</v>
      </c>
      <c r="P1" s="7" t="s">
        <v>75</v>
      </c>
      <c r="Q1" s="7" t="s">
        <v>125</v>
      </c>
    </row>
    <row r="2" spans="1:17" x14ac:dyDescent="0.3">
      <c r="A2" s="33" t="s">
        <v>126</v>
      </c>
      <c r="B2" s="13">
        <v>46116</v>
      </c>
      <c r="C2" s="33" t="s">
        <v>127</v>
      </c>
      <c r="D2" s="33" t="s">
        <v>128</v>
      </c>
      <c r="E2" s="34" t="str">
        <f>IFERROR(VLOOKUP(D2,Masters!$A$5:$E$16,2,FALSE()),"")</f>
        <v>Ghaziabad</v>
      </c>
      <c r="F2" s="34" t="str">
        <f>IFERROR(VLOOKUP(D2,Masters!$A$5:$E$16,3,FALSE()),"")</f>
        <v>Meerut</v>
      </c>
      <c r="G2" s="35">
        <v>3250</v>
      </c>
      <c r="H2" s="36">
        <f>IFERROR(INDEX(Masters!$D$5:$D$16,MATCH(D2,Masters!$A$5:$A$16,0)),"")</f>
        <v>1.8</v>
      </c>
      <c r="I2" s="37">
        <f t="shared" ref="I2:I65" si="0">IF(OR(G2="",H2=""),"",G2*H2)</f>
        <v>5850</v>
      </c>
      <c r="J2" s="33" t="s">
        <v>129</v>
      </c>
      <c r="K2" s="38">
        <f>IF(OR(B2="",D2=""),"",IFERROR(B2+VLOOKUP(D2,Masters!$A$5:$E$16,5,FALSE()),""))</f>
        <v>46117</v>
      </c>
      <c r="L2" s="13">
        <v>46117</v>
      </c>
      <c r="M2" s="33" t="s">
        <v>104</v>
      </c>
      <c r="N2" s="34">
        <f t="shared" ref="N2:N65" si="1">IF(OR(L2="",K2=""),"",MAX(0,L2-K2))</f>
        <v>0</v>
      </c>
      <c r="O2" s="34" t="str">
        <f t="shared" ref="O2:O65" si="2">IF(M2="In Transit","Pending",IF(OR(L2="",K2=""),"",IF(L2&lt;=K2,"Yes","No")))</f>
        <v>Yes</v>
      </c>
      <c r="P2" s="39">
        <f t="shared" ref="P2:P65" si="3">IF(B2="","",DATE(YEAR(B2),MONTH(B2),1))</f>
        <v>46113</v>
      </c>
      <c r="Q2" s="34" t="str">
        <f t="shared" ref="Q2:Q65" si="4">IF(OR(A2="",B2="",C2="",D2="",G2=""),"Missing Field",IF(COUNTIF($A$2:$A$1000,A2)&gt;1,"Duplicate ID",IF(G2&lt;=0,"Invalid Weight",IF(AND(L2&lt;&gt;"",L2&lt;B2),"Delivery Before Ship Date",IF(AND(M2="Delivered",L2=""),"Delivered But No Date","OK")))))</f>
        <v>OK</v>
      </c>
    </row>
    <row r="3" spans="1:17" x14ac:dyDescent="0.3">
      <c r="A3" s="33" t="s">
        <v>130</v>
      </c>
      <c r="B3" s="13">
        <v>46117</v>
      </c>
      <c r="C3" s="33" t="s">
        <v>131</v>
      </c>
      <c r="D3" s="33" t="s">
        <v>132</v>
      </c>
      <c r="E3" s="34" t="str">
        <f>IFERROR(VLOOKUP(D3,Masters!$A$5:$E$16,2,FALSE()),"")</f>
        <v>Delhi</v>
      </c>
      <c r="F3" s="34" t="str">
        <f>IFERROR(VLOOKUP(D3,Masters!$A$5:$E$16,3,FALSE()),"")</f>
        <v>Ahmedabad</v>
      </c>
      <c r="G3" s="35">
        <v>600</v>
      </c>
      <c r="H3" s="36">
        <f>IFERROR(INDEX(Masters!$D$5:$D$16,MATCH(D3,Masters!$A$5:$A$16,0)),"")</f>
        <v>7.5</v>
      </c>
      <c r="I3" s="37">
        <f t="shared" si="0"/>
        <v>4500</v>
      </c>
      <c r="J3" s="33" t="s">
        <v>133</v>
      </c>
      <c r="K3" s="38">
        <f>IF(OR(B3="",D3=""),"",IFERROR(B3+VLOOKUP(D3,Masters!$A$5:$E$16,5,FALSE()),""))</f>
        <v>46121</v>
      </c>
      <c r="L3" s="13">
        <v>46121</v>
      </c>
      <c r="M3" s="33" t="s">
        <v>104</v>
      </c>
      <c r="N3" s="34">
        <f t="shared" si="1"/>
        <v>0</v>
      </c>
      <c r="O3" s="34" t="str">
        <f t="shared" si="2"/>
        <v>Yes</v>
      </c>
      <c r="P3" s="39">
        <f t="shared" si="3"/>
        <v>46113</v>
      </c>
      <c r="Q3" s="34" t="str">
        <f t="shared" si="4"/>
        <v>OK</v>
      </c>
    </row>
    <row r="4" spans="1:17" x14ac:dyDescent="0.3">
      <c r="A4" s="33" t="s">
        <v>134</v>
      </c>
      <c r="B4" s="13">
        <v>46123</v>
      </c>
      <c r="C4" s="33" t="s">
        <v>131</v>
      </c>
      <c r="D4" s="33" t="s">
        <v>135</v>
      </c>
      <c r="E4" s="34" t="str">
        <f>IFERROR(VLOOKUP(D4,Masters!$A$5:$E$16,2,FALSE()),"")</f>
        <v>Delhi</v>
      </c>
      <c r="F4" s="34" t="str">
        <f>IFERROR(VLOOKUP(D4,Masters!$A$5:$E$16,3,FALSE()),"")</f>
        <v>Lucknow</v>
      </c>
      <c r="G4" s="35">
        <v>6710</v>
      </c>
      <c r="H4" s="36">
        <f>IFERROR(INDEX(Masters!$D$5:$D$16,MATCH(D4,Masters!$A$5:$A$16,0)),"")</f>
        <v>5.2</v>
      </c>
      <c r="I4" s="37">
        <f t="shared" si="0"/>
        <v>34892</v>
      </c>
      <c r="J4" s="33" t="s">
        <v>136</v>
      </c>
      <c r="K4" s="38">
        <f>IF(OR(B4="",D4=""),"",IFERROR(B4+VLOOKUP(D4,Masters!$A$5:$E$16,5,FALSE()),""))</f>
        <v>46126</v>
      </c>
      <c r="L4" s="13">
        <v>46129</v>
      </c>
      <c r="M4" s="33" t="s">
        <v>104</v>
      </c>
      <c r="N4" s="34">
        <f t="shared" si="1"/>
        <v>3</v>
      </c>
      <c r="O4" s="34" t="str">
        <f t="shared" si="2"/>
        <v>No</v>
      </c>
      <c r="P4" s="39">
        <f t="shared" si="3"/>
        <v>46113</v>
      </c>
      <c r="Q4" s="34" t="str">
        <f t="shared" si="4"/>
        <v>OK</v>
      </c>
    </row>
    <row r="5" spans="1:17" x14ac:dyDescent="0.3">
      <c r="A5" s="33" t="s">
        <v>137</v>
      </c>
      <c r="B5" s="13">
        <v>46124</v>
      </c>
      <c r="C5" s="33" t="s">
        <v>131</v>
      </c>
      <c r="D5" s="33" t="s">
        <v>138</v>
      </c>
      <c r="E5" s="34" t="str">
        <f>IFERROR(VLOOKUP(D5,Masters!$A$5:$E$16,2,FALSE()),"")</f>
        <v>Delhi</v>
      </c>
      <c r="F5" s="34" t="str">
        <f>IFERROR(VLOOKUP(D5,Masters!$A$5:$E$16,3,FALSE()),"")</f>
        <v>Kolkata</v>
      </c>
      <c r="G5" s="35">
        <v>2560</v>
      </c>
      <c r="H5" s="36">
        <f>IFERROR(INDEX(Masters!$D$5:$D$16,MATCH(D5,Masters!$A$5:$A$16,0)),"")</f>
        <v>12</v>
      </c>
      <c r="I5" s="37">
        <f t="shared" si="0"/>
        <v>30720</v>
      </c>
      <c r="J5" s="33" t="s">
        <v>129</v>
      </c>
      <c r="K5" s="38">
        <f>IF(OR(B5="",D5=""),"",IFERROR(B5+VLOOKUP(D5,Masters!$A$5:$E$16,5,FALSE()),""))</f>
        <v>46131</v>
      </c>
      <c r="L5" s="13">
        <v>46136</v>
      </c>
      <c r="M5" s="33" t="s">
        <v>104</v>
      </c>
      <c r="N5" s="34">
        <f t="shared" si="1"/>
        <v>5</v>
      </c>
      <c r="O5" s="34" t="str">
        <f t="shared" si="2"/>
        <v>No</v>
      </c>
      <c r="P5" s="39">
        <f t="shared" si="3"/>
        <v>46113</v>
      </c>
      <c r="Q5" s="34" t="str">
        <f t="shared" si="4"/>
        <v>OK</v>
      </c>
    </row>
    <row r="6" spans="1:17" x14ac:dyDescent="0.3">
      <c r="A6" s="33" t="s">
        <v>139</v>
      </c>
      <c r="B6" s="13">
        <v>46124</v>
      </c>
      <c r="C6" s="33" t="s">
        <v>127</v>
      </c>
      <c r="D6" s="33" t="s">
        <v>140</v>
      </c>
      <c r="E6" s="34" t="str">
        <f>IFERROR(VLOOKUP(D6,Masters!$A$5:$E$16,2,FALSE()),"")</f>
        <v>Delhi</v>
      </c>
      <c r="F6" s="34" t="str">
        <f>IFERROR(VLOOKUP(D6,Masters!$A$5:$E$16,3,FALSE()),"")</f>
        <v>Mumbai</v>
      </c>
      <c r="G6" s="35">
        <v>2800</v>
      </c>
      <c r="H6" s="36">
        <f>IFERROR(INDEX(Masters!$D$5:$D$16,MATCH(D6,Masters!$A$5:$A$16,0)),"")</f>
        <v>9.5</v>
      </c>
      <c r="I6" s="37">
        <f t="shared" si="0"/>
        <v>26600</v>
      </c>
      <c r="J6" s="33" t="s">
        <v>129</v>
      </c>
      <c r="K6" s="38">
        <f>IF(OR(B6="",D6=""),"",IFERROR(B6+VLOOKUP(D6,Masters!$A$5:$E$16,5,FALSE()),""))</f>
        <v>46130</v>
      </c>
      <c r="L6" s="13">
        <v>46130</v>
      </c>
      <c r="M6" s="33" t="s">
        <v>104</v>
      </c>
      <c r="N6" s="34">
        <f t="shared" si="1"/>
        <v>0</v>
      </c>
      <c r="O6" s="34" t="str">
        <f t="shared" si="2"/>
        <v>Yes</v>
      </c>
      <c r="P6" s="39">
        <f t="shared" si="3"/>
        <v>46113</v>
      </c>
      <c r="Q6" s="34" t="str">
        <f t="shared" si="4"/>
        <v>OK</v>
      </c>
    </row>
    <row r="7" spans="1:17" x14ac:dyDescent="0.3">
      <c r="A7" s="33" t="s">
        <v>141</v>
      </c>
      <c r="B7" s="13">
        <v>46127</v>
      </c>
      <c r="C7" s="33" t="s">
        <v>142</v>
      </c>
      <c r="D7" s="33" t="s">
        <v>143</v>
      </c>
      <c r="E7" s="34" t="str">
        <f>IFERROR(VLOOKUP(D7,Masters!$A$5:$E$16,2,FALSE()),"")</f>
        <v>Delhi</v>
      </c>
      <c r="F7" s="34" t="str">
        <f>IFERROR(VLOOKUP(D7,Masters!$A$5:$E$16,3,FALSE()),"")</f>
        <v>Kanpur</v>
      </c>
      <c r="G7" s="35">
        <v>1370</v>
      </c>
      <c r="H7" s="36">
        <f>IFERROR(INDEX(Masters!$D$5:$D$16,MATCH(D7,Masters!$A$5:$A$16,0)),"")</f>
        <v>4.5</v>
      </c>
      <c r="I7" s="37">
        <f t="shared" si="0"/>
        <v>6165</v>
      </c>
      <c r="J7" s="33" t="s">
        <v>144</v>
      </c>
      <c r="K7" s="38">
        <f>IF(OR(B7="",D7=""),"",IFERROR(B7+VLOOKUP(D7,Masters!$A$5:$E$16,5,FALSE()),""))</f>
        <v>46130</v>
      </c>
      <c r="L7" s="13">
        <v>46130</v>
      </c>
      <c r="M7" s="33" t="s">
        <v>104</v>
      </c>
      <c r="N7" s="34">
        <f t="shared" si="1"/>
        <v>0</v>
      </c>
      <c r="O7" s="34" t="str">
        <f t="shared" si="2"/>
        <v>Yes</v>
      </c>
      <c r="P7" s="39">
        <f t="shared" si="3"/>
        <v>46113</v>
      </c>
      <c r="Q7" s="34" t="str">
        <f t="shared" si="4"/>
        <v>OK</v>
      </c>
    </row>
    <row r="8" spans="1:17" x14ac:dyDescent="0.3">
      <c r="A8" s="33" t="s">
        <v>145</v>
      </c>
      <c r="B8" s="13">
        <v>46127</v>
      </c>
      <c r="C8" s="33" t="s">
        <v>146</v>
      </c>
      <c r="D8" s="33" t="s">
        <v>132</v>
      </c>
      <c r="E8" s="34" t="str">
        <f>IFERROR(VLOOKUP(D8,Masters!$A$5:$E$16,2,FALSE()),"")</f>
        <v>Delhi</v>
      </c>
      <c r="F8" s="34" t="str">
        <f>IFERROR(VLOOKUP(D8,Masters!$A$5:$E$16,3,FALSE()),"")</f>
        <v>Ahmedabad</v>
      </c>
      <c r="G8" s="35">
        <v>2630</v>
      </c>
      <c r="H8" s="36">
        <f>IFERROR(INDEX(Masters!$D$5:$D$16,MATCH(D8,Masters!$A$5:$A$16,0)),"")</f>
        <v>7.5</v>
      </c>
      <c r="I8" s="37">
        <f t="shared" si="0"/>
        <v>19725</v>
      </c>
      <c r="J8" s="33" t="s">
        <v>129</v>
      </c>
      <c r="K8" s="38">
        <f>IF(OR(B8="",D8=""),"",IFERROR(B8+VLOOKUP(D8,Masters!$A$5:$E$16,5,FALSE()),""))</f>
        <v>46131</v>
      </c>
      <c r="L8" s="13">
        <v>46131</v>
      </c>
      <c r="M8" s="33" t="s">
        <v>104</v>
      </c>
      <c r="N8" s="34">
        <f t="shared" si="1"/>
        <v>0</v>
      </c>
      <c r="O8" s="34" t="str">
        <f t="shared" si="2"/>
        <v>Yes</v>
      </c>
      <c r="P8" s="39">
        <f t="shared" si="3"/>
        <v>46113</v>
      </c>
      <c r="Q8" s="34" t="str">
        <f t="shared" si="4"/>
        <v>OK</v>
      </c>
    </row>
    <row r="9" spans="1:17" x14ac:dyDescent="0.3">
      <c r="A9" s="33" t="s">
        <v>147</v>
      </c>
      <c r="B9" s="13">
        <v>46127</v>
      </c>
      <c r="C9" s="33" t="s">
        <v>131</v>
      </c>
      <c r="D9" s="33" t="s">
        <v>128</v>
      </c>
      <c r="E9" s="34" t="str">
        <f>IFERROR(VLOOKUP(D9,Masters!$A$5:$E$16,2,FALSE()),"")</f>
        <v>Ghaziabad</v>
      </c>
      <c r="F9" s="34" t="str">
        <f>IFERROR(VLOOKUP(D9,Masters!$A$5:$E$16,3,FALSE()),"")</f>
        <v>Meerut</v>
      </c>
      <c r="G9" s="35">
        <v>2810</v>
      </c>
      <c r="H9" s="36">
        <f>IFERROR(INDEX(Masters!$D$5:$D$16,MATCH(D9,Masters!$A$5:$A$16,0)),"")</f>
        <v>1.8</v>
      </c>
      <c r="I9" s="37">
        <f t="shared" si="0"/>
        <v>5058</v>
      </c>
      <c r="J9" s="33" t="s">
        <v>129</v>
      </c>
      <c r="K9" s="38">
        <f>IF(OR(B9="",D9=""),"",IFERROR(B9+VLOOKUP(D9,Masters!$A$5:$E$16,5,FALSE()),""))</f>
        <v>46128</v>
      </c>
      <c r="L9" s="13">
        <v>46130</v>
      </c>
      <c r="M9" s="33" t="s">
        <v>104</v>
      </c>
      <c r="N9" s="34">
        <f t="shared" si="1"/>
        <v>2</v>
      </c>
      <c r="O9" s="34" t="str">
        <f t="shared" si="2"/>
        <v>No</v>
      </c>
      <c r="P9" s="39">
        <f t="shared" si="3"/>
        <v>46113</v>
      </c>
      <c r="Q9" s="34" t="str">
        <f t="shared" si="4"/>
        <v>OK</v>
      </c>
    </row>
    <row r="10" spans="1:17" x14ac:dyDescent="0.3">
      <c r="A10" s="33" t="s">
        <v>148</v>
      </c>
      <c r="B10" s="13">
        <v>46129</v>
      </c>
      <c r="C10" s="33" t="s">
        <v>149</v>
      </c>
      <c r="D10" s="33" t="s">
        <v>132</v>
      </c>
      <c r="E10" s="34" t="str">
        <f>IFERROR(VLOOKUP(D10,Masters!$A$5:$E$16,2,FALSE()),"")</f>
        <v>Delhi</v>
      </c>
      <c r="F10" s="34" t="str">
        <f>IFERROR(VLOOKUP(D10,Masters!$A$5:$E$16,3,FALSE()),"")</f>
        <v>Ahmedabad</v>
      </c>
      <c r="G10" s="35">
        <v>5770</v>
      </c>
      <c r="H10" s="36">
        <f>IFERROR(INDEX(Masters!$D$5:$D$16,MATCH(D10,Masters!$A$5:$A$16,0)),"")</f>
        <v>7.5</v>
      </c>
      <c r="I10" s="37">
        <f t="shared" si="0"/>
        <v>43275</v>
      </c>
      <c r="J10" s="33" t="s">
        <v>136</v>
      </c>
      <c r="K10" s="38">
        <f>IF(OR(B10="",D10=""),"",IFERROR(B10+VLOOKUP(D10,Masters!$A$5:$E$16,5,FALSE()),""))</f>
        <v>46133</v>
      </c>
      <c r="L10" s="13">
        <v>46132</v>
      </c>
      <c r="M10" s="33" t="s">
        <v>104</v>
      </c>
      <c r="N10" s="34">
        <f t="shared" si="1"/>
        <v>0</v>
      </c>
      <c r="O10" s="34" t="str">
        <f t="shared" si="2"/>
        <v>Yes</v>
      </c>
      <c r="P10" s="39">
        <f t="shared" si="3"/>
        <v>46113</v>
      </c>
      <c r="Q10" s="34" t="str">
        <f t="shared" si="4"/>
        <v>OK</v>
      </c>
    </row>
    <row r="11" spans="1:17" x14ac:dyDescent="0.3">
      <c r="A11" s="33" t="s">
        <v>150</v>
      </c>
      <c r="B11" s="13">
        <v>46131</v>
      </c>
      <c r="C11" s="33" t="s">
        <v>151</v>
      </c>
      <c r="D11" s="33" t="s">
        <v>152</v>
      </c>
      <c r="E11" s="34" t="str">
        <f>IFERROR(VLOOKUP(D11,Masters!$A$5:$E$16,2,FALSE()),"")</f>
        <v>Delhi</v>
      </c>
      <c r="F11" s="34" t="str">
        <f>IFERROR(VLOOKUP(D11,Masters!$A$5:$E$16,3,FALSE()),"")</f>
        <v>Dehradun</v>
      </c>
      <c r="G11" s="35">
        <v>5870</v>
      </c>
      <c r="H11" s="36">
        <f>IFERROR(INDEX(Masters!$D$5:$D$16,MATCH(D11,Masters!$A$5:$A$16,0)),"")</f>
        <v>4</v>
      </c>
      <c r="I11" s="37">
        <f t="shared" si="0"/>
        <v>23480</v>
      </c>
      <c r="J11" s="33" t="s">
        <v>136</v>
      </c>
      <c r="K11" s="38">
        <f>IF(OR(B11="",D11=""),"",IFERROR(B11+VLOOKUP(D11,Masters!$A$5:$E$16,5,FALSE()),""))</f>
        <v>46133</v>
      </c>
      <c r="L11" s="13">
        <v>46135</v>
      </c>
      <c r="M11" s="33" t="s">
        <v>104</v>
      </c>
      <c r="N11" s="34">
        <f t="shared" si="1"/>
        <v>2</v>
      </c>
      <c r="O11" s="34" t="str">
        <f t="shared" si="2"/>
        <v>No</v>
      </c>
      <c r="P11" s="39">
        <f t="shared" si="3"/>
        <v>46113</v>
      </c>
      <c r="Q11" s="34" t="str">
        <f t="shared" si="4"/>
        <v>OK</v>
      </c>
    </row>
    <row r="12" spans="1:17" x14ac:dyDescent="0.3">
      <c r="A12" s="33" t="s">
        <v>153</v>
      </c>
      <c r="B12" s="13">
        <v>46131</v>
      </c>
      <c r="C12" s="33" t="s">
        <v>146</v>
      </c>
      <c r="D12" s="33" t="s">
        <v>154</v>
      </c>
      <c r="E12" s="34" t="str">
        <f>IFERROR(VLOOKUP(D12,Masters!$A$5:$E$16,2,FALSE()),"")</f>
        <v>Delhi</v>
      </c>
      <c r="F12" s="34" t="str">
        <f>IFERROR(VLOOKUP(D12,Masters!$A$5:$E$16,3,FALSE()),"")</f>
        <v>Bhopal</v>
      </c>
      <c r="G12" s="35"/>
      <c r="H12" s="36">
        <f>IFERROR(INDEX(Masters!$D$5:$D$16,MATCH(D12,Masters!$A$5:$A$16,0)),"")</f>
        <v>8</v>
      </c>
      <c r="I12" s="37" t="str">
        <f t="shared" si="0"/>
        <v/>
      </c>
      <c r="J12" s="33" t="s">
        <v>136</v>
      </c>
      <c r="K12" s="38">
        <f>IF(OR(B12="",D12=""),"",IFERROR(B12+VLOOKUP(D12,Masters!$A$5:$E$16,5,FALSE()),""))</f>
        <v>46136</v>
      </c>
      <c r="L12" s="13">
        <v>46137</v>
      </c>
      <c r="M12" s="33" t="s">
        <v>104</v>
      </c>
      <c r="N12" s="34">
        <f t="shared" si="1"/>
        <v>1</v>
      </c>
      <c r="O12" s="34" t="str">
        <f t="shared" si="2"/>
        <v>No</v>
      </c>
      <c r="P12" s="39">
        <f t="shared" si="3"/>
        <v>46113</v>
      </c>
      <c r="Q12" s="34" t="str">
        <f t="shared" si="4"/>
        <v>Missing Field</v>
      </c>
    </row>
    <row r="13" spans="1:17" x14ac:dyDescent="0.3">
      <c r="A13" s="33" t="s">
        <v>155</v>
      </c>
      <c r="B13" s="13">
        <v>46132</v>
      </c>
      <c r="C13" s="33" t="s">
        <v>156</v>
      </c>
      <c r="D13" s="33" t="s">
        <v>128</v>
      </c>
      <c r="E13" s="34" t="str">
        <f>IFERROR(VLOOKUP(D13,Masters!$A$5:$E$16,2,FALSE()),"")</f>
        <v>Ghaziabad</v>
      </c>
      <c r="F13" s="34" t="str">
        <f>IFERROR(VLOOKUP(D13,Masters!$A$5:$E$16,3,FALSE()),"")</f>
        <v>Meerut</v>
      </c>
      <c r="G13" s="35">
        <v>9800</v>
      </c>
      <c r="H13" s="36">
        <f>IFERROR(INDEX(Masters!$D$5:$D$16,MATCH(D13,Masters!$A$5:$A$16,0)),"")</f>
        <v>1.8</v>
      </c>
      <c r="I13" s="37">
        <f t="shared" si="0"/>
        <v>17640</v>
      </c>
      <c r="J13" s="33" t="s">
        <v>157</v>
      </c>
      <c r="K13" s="38">
        <f>IF(OR(B13="",D13=""),"",IFERROR(B13+VLOOKUP(D13,Masters!$A$5:$E$16,5,FALSE()),""))</f>
        <v>46133</v>
      </c>
      <c r="L13" s="13">
        <v>46133</v>
      </c>
      <c r="M13" s="33" t="s">
        <v>104</v>
      </c>
      <c r="N13" s="34">
        <f t="shared" si="1"/>
        <v>0</v>
      </c>
      <c r="O13" s="34" t="str">
        <f t="shared" si="2"/>
        <v>Yes</v>
      </c>
      <c r="P13" s="39">
        <f t="shared" si="3"/>
        <v>46113</v>
      </c>
      <c r="Q13" s="34" t="str">
        <f t="shared" si="4"/>
        <v>OK</v>
      </c>
    </row>
    <row r="14" spans="1:17" x14ac:dyDescent="0.3">
      <c r="A14" s="33" t="s">
        <v>158</v>
      </c>
      <c r="B14" s="13">
        <v>46135</v>
      </c>
      <c r="C14" s="33" t="s">
        <v>151</v>
      </c>
      <c r="D14" s="33" t="s">
        <v>159</v>
      </c>
      <c r="E14" s="34" t="str">
        <f>IFERROR(VLOOKUP(D14,Masters!$A$5:$E$16,2,FALSE()),"")</f>
        <v>Delhi</v>
      </c>
      <c r="F14" s="34" t="str">
        <f>IFERROR(VLOOKUP(D14,Masters!$A$5:$E$16,3,FALSE()),"")</f>
        <v>Jaipur</v>
      </c>
      <c r="G14" s="35">
        <v>5570</v>
      </c>
      <c r="H14" s="36">
        <f>IFERROR(INDEX(Masters!$D$5:$D$16,MATCH(D14,Masters!$A$5:$A$16,0)),"")</f>
        <v>3.5</v>
      </c>
      <c r="I14" s="37">
        <f t="shared" si="0"/>
        <v>19495</v>
      </c>
      <c r="J14" s="33" t="s">
        <v>136</v>
      </c>
      <c r="K14" s="38">
        <f>IF(OR(B14="",D14=""),"",IFERROR(B14+VLOOKUP(D14,Masters!$A$5:$E$16,5,FALSE()),""))</f>
        <v>46137</v>
      </c>
      <c r="L14" s="13">
        <v>46136</v>
      </c>
      <c r="M14" s="33" t="s">
        <v>104</v>
      </c>
      <c r="N14" s="34">
        <f t="shared" si="1"/>
        <v>0</v>
      </c>
      <c r="O14" s="34" t="str">
        <f t="shared" si="2"/>
        <v>Yes</v>
      </c>
      <c r="P14" s="39">
        <f t="shared" si="3"/>
        <v>46113</v>
      </c>
      <c r="Q14" s="34" t="str">
        <f t="shared" si="4"/>
        <v>OK</v>
      </c>
    </row>
    <row r="15" spans="1:17" x14ac:dyDescent="0.3">
      <c r="A15" s="33" t="s">
        <v>160</v>
      </c>
      <c r="B15" s="13">
        <v>46135</v>
      </c>
      <c r="C15" s="33" t="s">
        <v>127</v>
      </c>
      <c r="D15" s="33" t="s">
        <v>161</v>
      </c>
      <c r="E15" s="34" t="str">
        <f>IFERROR(VLOOKUP(D15,Masters!$A$5:$E$16,2,FALSE()),"")</f>
        <v>Delhi</v>
      </c>
      <c r="F15" s="34" t="str">
        <f>IFERROR(VLOOKUP(D15,Masters!$A$5:$E$16,3,FALSE()),"")</f>
        <v>Chandigarh</v>
      </c>
      <c r="G15" s="35">
        <v>1970</v>
      </c>
      <c r="H15" s="36">
        <f>IFERROR(INDEX(Masters!$D$5:$D$16,MATCH(D15,Masters!$A$5:$A$16,0)),"")</f>
        <v>3</v>
      </c>
      <c r="I15" s="37">
        <f t="shared" si="0"/>
        <v>5910</v>
      </c>
      <c r="J15" s="33" t="s">
        <v>144</v>
      </c>
      <c r="K15" s="38">
        <f>IF(OR(B15="",D15=""),"",IFERROR(B15+VLOOKUP(D15,Masters!$A$5:$E$16,5,FALSE()),""))</f>
        <v>46137</v>
      </c>
      <c r="L15" s="13">
        <v>46136</v>
      </c>
      <c r="M15" s="33" t="s">
        <v>104</v>
      </c>
      <c r="N15" s="34">
        <f t="shared" si="1"/>
        <v>0</v>
      </c>
      <c r="O15" s="34" t="str">
        <f t="shared" si="2"/>
        <v>Yes</v>
      </c>
      <c r="P15" s="39">
        <f t="shared" si="3"/>
        <v>46113</v>
      </c>
      <c r="Q15" s="34" t="str">
        <f t="shared" si="4"/>
        <v>OK</v>
      </c>
    </row>
    <row r="16" spans="1:17" x14ac:dyDescent="0.3">
      <c r="A16" s="33" t="s">
        <v>162</v>
      </c>
      <c r="B16" s="13">
        <v>46135</v>
      </c>
      <c r="C16" s="33" t="s">
        <v>131</v>
      </c>
      <c r="D16" s="33" t="s">
        <v>159</v>
      </c>
      <c r="E16" s="34" t="str">
        <f>IFERROR(VLOOKUP(D16,Masters!$A$5:$E$16,2,FALSE()),"")</f>
        <v>Delhi</v>
      </c>
      <c r="F16" s="34" t="str">
        <f>IFERROR(VLOOKUP(D16,Masters!$A$5:$E$16,3,FALSE()),"")</f>
        <v>Jaipur</v>
      </c>
      <c r="G16" s="35">
        <v>10510</v>
      </c>
      <c r="H16" s="36">
        <f>IFERROR(INDEX(Masters!$D$5:$D$16,MATCH(D16,Masters!$A$5:$A$16,0)),"")</f>
        <v>3.5</v>
      </c>
      <c r="I16" s="37">
        <f t="shared" si="0"/>
        <v>36785</v>
      </c>
      <c r="J16" s="33" t="s">
        <v>157</v>
      </c>
      <c r="K16" s="38">
        <f>IF(OR(B16="",D16=""),"",IFERROR(B16+VLOOKUP(D16,Masters!$A$5:$E$16,5,FALSE()),""))</f>
        <v>46137</v>
      </c>
      <c r="L16" s="13">
        <v>46137</v>
      </c>
      <c r="M16" s="33" t="s">
        <v>104</v>
      </c>
      <c r="N16" s="34">
        <f t="shared" si="1"/>
        <v>0</v>
      </c>
      <c r="O16" s="34" t="str">
        <f t="shared" si="2"/>
        <v>Yes</v>
      </c>
      <c r="P16" s="39">
        <f t="shared" si="3"/>
        <v>46113</v>
      </c>
      <c r="Q16" s="34" t="str">
        <f t="shared" si="4"/>
        <v>OK</v>
      </c>
    </row>
    <row r="17" spans="1:17" x14ac:dyDescent="0.3">
      <c r="A17" s="33" t="s">
        <v>163</v>
      </c>
      <c r="B17" s="13">
        <v>46136</v>
      </c>
      <c r="C17" s="33" t="s">
        <v>151</v>
      </c>
      <c r="D17" s="33" t="s">
        <v>138</v>
      </c>
      <c r="E17" s="34" t="str">
        <f>IFERROR(VLOOKUP(D17,Masters!$A$5:$E$16,2,FALSE()),"")</f>
        <v>Delhi</v>
      </c>
      <c r="F17" s="34" t="str">
        <f>IFERROR(VLOOKUP(D17,Masters!$A$5:$E$16,3,FALSE()),"")</f>
        <v>Kolkata</v>
      </c>
      <c r="G17" s="35">
        <v>6440</v>
      </c>
      <c r="H17" s="36">
        <f>IFERROR(INDEX(Masters!$D$5:$D$16,MATCH(D17,Masters!$A$5:$A$16,0)),"")</f>
        <v>12</v>
      </c>
      <c r="I17" s="37">
        <f t="shared" si="0"/>
        <v>77280</v>
      </c>
      <c r="J17" s="33" t="s">
        <v>136</v>
      </c>
      <c r="K17" s="38">
        <f>IF(OR(B17="",D17=""),"",IFERROR(B17+VLOOKUP(D17,Masters!$A$5:$E$16,5,FALSE()),""))</f>
        <v>46143</v>
      </c>
      <c r="L17" s="13">
        <v>46143</v>
      </c>
      <c r="M17" s="33" t="s">
        <v>104</v>
      </c>
      <c r="N17" s="34">
        <f t="shared" si="1"/>
        <v>0</v>
      </c>
      <c r="O17" s="34" t="str">
        <f t="shared" si="2"/>
        <v>Yes</v>
      </c>
      <c r="P17" s="39">
        <f t="shared" si="3"/>
        <v>46113</v>
      </c>
      <c r="Q17" s="34" t="str">
        <f t="shared" si="4"/>
        <v>OK</v>
      </c>
    </row>
    <row r="18" spans="1:17" x14ac:dyDescent="0.3">
      <c r="A18" s="33" t="s">
        <v>164</v>
      </c>
      <c r="B18" s="13">
        <v>46137</v>
      </c>
      <c r="C18" s="33" t="s">
        <v>127</v>
      </c>
      <c r="D18" s="33" t="s">
        <v>140</v>
      </c>
      <c r="E18" s="34" t="str">
        <f>IFERROR(VLOOKUP(D18,Masters!$A$5:$E$16,2,FALSE()),"")</f>
        <v>Delhi</v>
      </c>
      <c r="F18" s="34" t="str">
        <f>IFERROR(VLOOKUP(D18,Masters!$A$5:$E$16,3,FALSE()),"")</f>
        <v>Mumbai</v>
      </c>
      <c r="G18" s="35">
        <v>8720</v>
      </c>
      <c r="H18" s="36">
        <f>IFERROR(INDEX(Masters!$D$5:$D$16,MATCH(D18,Masters!$A$5:$A$16,0)),"")</f>
        <v>9.5</v>
      </c>
      <c r="I18" s="37">
        <f t="shared" si="0"/>
        <v>82840</v>
      </c>
      <c r="J18" s="33" t="s">
        <v>136</v>
      </c>
      <c r="K18" s="38">
        <f>IF(OR(B18="",D18=""),"",IFERROR(B18+VLOOKUP(D18,Masters!$A$5:$E$16,5,FALSE()),""))</f>
        <v>46143</v>
      </c>
      <c r="L18" s="13">
        <v>46143</v>
      </c>
      <c r="M18" s="33" t="s">
        <v>104</v>
      </c>
      <c r="N18" s="34">
        <f t="shared" si="1"/>
        <v>0</v>
      </c>
      <c r="O18" s="34" t="str">
        <f t="shared" si="2"/>
        <v>Yes</v>
      </c>
      <c r="P18" s="39">
        <f t="shared" si="3"/>
        <v>46113</v>
      </c>
      <c r="Q18" s="34" t="str">
        <f t="shared" si="4"/>
        <v>OK</v>
      </c>
    </row>
    <row r="19" spans="1:17" x14ac:dyDescent="0.3">
      <c r="A19" s="33" t="s">
        <v>165</v>
      </c>
      <c r="B19" s="13">
        <v>46138</v>
      </c>
      <c r="C19" s="33" t="s">
        <v>146</v>
      </c>
      <c r="D19" s="33" t="s">
        <v>143</v>
      </c>
      <c r="E19" s="34" t="str">
        <f>IFERROR(VLOOKUP(D19,Masters!$A$5:$E$16,2,FALSE()),"")</f>
        <v>Delhi</v>
      </c>
      <c r="F19" s="34" t="str">
        <f>IFERROR(VLOOKUP(D19,Masters!$A$5:$E$16,3,FALSE()),"")</f>
        <v>Kanpur</v>
      </c>
      <c r="G19" s="35">
        <v>9720</v>
      </c>
      <c r="H19" s="36">
        <f>IFERROR(INDEX(Masters!$D$5:$D$16,MATCH(D19,Masters!$A$5:$A$16,0)),"")</f>
        <v>4.5</v>
      </c>
      <c r="I19" s="37">
        <f t="shared" si="0"/>
        <v>43740</v>
      </c>
      <c r="J19" s="33" t="s">
        <v>157</v>
      </c>
      <c r="K19" s="38">
        <f>IF(OR(B19="",D19=""),"",IFERROR(B19+VLOOKUP(D19,Masters!$A$5:$E$16,5,FALSE()),""))</f>
        <v>46141</v>
      </c>
      <c r="L19" s="13">
        <v>46141</v>
      </c>
      <c r="M19" s="33" t="s">
        <v>104</v>
      </c>
      <c r="N19" s="34">
        <f t="shared" si="1"/>
        <v>0</v>
      </c>
      <c r="O19" s="34" t="str">
        <f t="shared" si="2"/>
        <v>Yes</v>
      </c>
      <c r="P19" s="39">
        <f t="shared" si="3"/>
        <v>46113</v>
      </c>
      <c r="Q19" s="34" t="str">
        <f t="shared" si="4"/>
        <v>OK</v>
      </c>
    </row>
    <row r="20" spans="1:17" x14ac:dyDescent="0.3">
      <c r="A20" s="33" t="s">
        <v>166</v>
      </c>
      <c r="B20" s="13">
        <v>46139</v>
      </c>
      <c r="C20" s="33" t="s">
        <v>167</v>
      </c>
      <c r="D20" s="33" t="s">
        <v>135</v>
      </c>
      <c r="E20" s="34" t="str">
        <f>IFERROR(VLOOKUP(D20,Masters!$A$5:$E$16,2,FALSE()),"")</f>
        <v>Delhi</v>
      </c>
      <c r="F20" s="34" t="str">
        <f>IFERROR(VLOOKUP(D20,Masters!$A$5:$E$16,3,FALSE()),"")</f>
        <v>Lucknow</v>
      </c>
      <c r="G20" s="35">
        <v>7390</v>
      </c>
      <c r="H20" s="36">
        <f>IFERROR(INDEX(Masters!$D$5:$D$16,MATCH(D20,Masters!$A$5:$A$16,0)),"")</f>
        <v>5.2</v>
      </c>
      <c r="I20" s="37">
        <f t="shared" si="0"/>
        <v>38428</v>
      </c>
      <c r="J20" s="33" t="s">
        <v>136</v>
      </c>
      <c r="K20" s="38">
        <f>IF(OR(B20="",D20=""),"",IFERROR(B20+VLOOKUP(D20,Masters!$A$5:$E$16,5,FALSE()),""))</f>
        <v>46142</v>
      </c>
      <c r="L20" s="13">
        <v>46142</v>
      </c>
      <c r="M20" s="33" t="s">
        <v>104</v>
      </c>
      <c r="N20" s="34">
        <f t="shared" si="1"/>
        <v>0</v>
      </c>
      <c r="O20" s="34" t="str">
        <f t="shared" si="2"/>
        <v>Yes</v>
      </c>
      <c r="P20" s="39">
        <f t="shared" si="3"/>
        <v>46113</v>
      </c>
      <c r="Q20" s="34" t="str">
        <f t="shared" si="4"/>
        <v>OK</v>
      </c>
    </row>
    <row r="21" spans="1:17" x14ac:dyDescent="0.3">
      <c r="A21" s="33" t="s">
        <v>168</v>
      </c>
      <c r="B21" s="13">
        <v>46141</v>
      </c>
      <c r="C21" s="33" t="s">
        <v>146</v>
      </c>
      <c r="D21" s="33" t="s">
        <v>138</v>
      </c>
      <c r="E21" s="34" t="str">
        <f>IFERROR(VLOOKUP(D21,Masters!$A$5:$E$16,2,FALSE()),"")</f>
        <v>Delhi</v>
      </c>
      <c r="F21" s="34" t="str">
        <f>IFERROR(VLOOKUP(D21,Masters!$A$5:$E$16,3,FALSE()),"")</f>
        <v>Kolkata</v>
      </c>
      <c r="G21" s="35">
        <v>1820</v>
      </c>
      <c r="H21" s="36">
        <f>IFERROR(INDEX(Masters!$D$5:$D$16,MATCH(D21,Masters!$A$5:$A$16,0)),"")</f>
        <v>12</v>
      </c>
      <c r="I21" s="37">
        <f t="shared" si="0"/>
        <v>21840</v>
      </c>
      <c r="J21" s="33" t="s">
        <v>144</v>
      </c>
      <c r="K21" s="38">
        <f>IF(OR(B21="",D21=""),"",IFERROR(B21+VLOOKUP(D21,Masters!$A$5:$E$16,5,FALSE()),""))</f>
        <v>46148</v>
      </c>
      <c r="L21" s="13">
        <v>46148</v>
      </c>
      <c r="M21" s="33" t="s">
        <v>104</v>
      </c>
      <c r="N21" s="34">
        <f t="shared" si="1"/>
        <v>0</v>
      </c>
      <c r="O21" s="34" t="str">
        <f t="shared" si="2"/>
        <v>Yes</v>
      </c>
      <c r="P21" s="39">
        <f t="shared" si="3"/>
        <v>46113</v>
      </c>
      <c r="Q21" s="34" t="str">
        <f t="shared" si="4"/>
        <v>OK</v>
      </c>
    </row>
    <row r="22" spans="1:17" x14ac:dyDescent="0.3">
      <c r="A22" s="33" t="s">
        <v>169</v>
      </c>
      <c r="B22" s="13">
        <v>46141</v>
      </c>
      <c r="C22" s="33" t="s">
        <v>167</v>
      </c>
      <c r="D22" s="33" t="s">
        <v>161</v>
      </c>
      <c r="E22" s="34" t="str">
        <f>IFERROR(VLOOKUP(D22,Masters!$A$5:$E$16,2,FALSE()),"")</f>
        <v>Delhi</v>
      </c>
      <c r="F22" s="34" t="str">
        <f>IFERROR(VLOOKUP(D22,Masters!$A$5:$E$16,3,FALSE()),"")</f>
        <v>Chandigarh</v>
      </c>
      <c r="G22" s="35">
        <v>2690</v>
      </c>
      <c r="H22" s="36">
        <f>IFERROR(INDEX(Masters!$D$5:$D$16,MATCH(D22,Masters!$A$5:$A$16,0)),"")</f>
        <v>3</v>
      </c>
      <c r="I22" s="37">
        <f t="shared" si="0"/>
        <v>8070</v>
      </c>
      <c r="J22" s="33" t="s">
        <v>129</v>
      </c>
      <c r="K22" s="38">
        <f>IF(OR(B22="",D22=""),"",IFERROR(B22+VLOOKUP(D22,Masters!$A$5:$E$16,5,FALSE()),""))</f>
        <v>46143</v>
      </c>
      <c r="L22" s="13">
        <v>46146</v>
      </c>
      <c r="M22" s="33" t="s">
        <v>104</v>
      </c>
      <c r="N22" s="34">
        <f t="shared" si="1"/>
        <v>3</v>
      </c>
      <c r="O22" s="34" t="str">
        <f t="shared" si="2"/>
        <v>No</v>
      </c>
      <c r="P22" s="39">
        <f t="shared" si="3"/>
        <v>46113</v>
      </c>
      <c r="Q22" s="34" t="str">
        <f t="shared" si="4"/>
        <v>OK</v>
      </c>
    </row>
    <row r="23" spans="1:17" x14ac:dyDescent="0.3">
      <c r="A23" s="33" t="s">
        <v>170</v>
      </c>
      <c r="B23" s="13">
        <v>46142</v>
      </c>
      <c r="C23" s="33" t="s">
        <v>171</v>
      </c>
      <c r="D23" s="33" t="s">
        <v>159</v>
      </c>
      <c r="E23" s="34" t="str">
        <f>IFERROR(VLOOKUP(D23,Masters!$A$5:$E$16,2,FALSE()),"")</f>
        <v>Delhi</v>
      </c>
      <c r="F23" s="34" t="str">
        <f>IFERROR(VLOOKUP(D23,Masters!$A$5:$E$16,3,FALSE()),"")</f>
        <v>Jaipur</v>
      </c>
      <c r="G23" s="35">
        <v>1640</v>
      </c>
      <c r="H23" s="36">
        <f>IFERROR(INDEX(Masters!$D$5:$D$16,MATCH(D23,Masters!$A$5:$A$16,0)),"")</f>
        <v>3.5</v>
      </c>
      <c r="I23" s="37">
        <f t="shared" si="0"/>
        <v>5740</v>
      </c>
      <c r="J23" s="33" t="s">
        <v>144</v>
      </c>
      <c r="K23" s="38">
        <f>IF(OR(B23="",D23=""),"",IFERROR(B23+VLOOKUP(D23,Masters!$A$5:$E$16,5,FALSE()),""))</f>
        <v>46144</v>
      </c>
      <c r="L23" s="13">
        <v>46144</v>
      </c>
      <c r="M23" s="33" t="s">
        <v>104</v>
      </c>
      <c r="N23" s="34">
        <f t="shared" si="1"/>
        <v>0</v>
      </c>
      <c r="O23" s="34" t="str">
        <f t="shared" si="2"/>
        <v>Yes</v>
      </c>
      <c r="P23" s="39">
        <f t="shared" si="3"/>
        <v>46113</v>
      </c>
      <c r="Q23" s="34" t="str">
        <f t="shared" si="4"/>
        <v>OK</v>
      </c>
    </row>
    <row r="24" spans="1:17" x14ac:dyDescent="0.3">
      <c r="A24" s="33" t="s">
        <v>172</v>
      </c>
      <c r="B24" s="13">
        <v>46142</v>
      </c>
      <c r="C24" s="33" t="s">
        <v>127</v>
      </c>
      <c r="D24" s="33" t="s">
        <v>152</v>
      </c>
      <c r="E24" s="34" t="str">
        <f>IFERROR(VLOOKUP(D24,Masters!$A$5:$E$16,2,FALSE()),"")</f>
        <v>Delhi</v>
      </c>
      <c r="F24" s="34" t="str">
        <f>IFERROR(VLOOKUP(D24,Masters!$A$5:$E$16,3,FALSE()),"")</f>
        <v>Dehradun</v>
      </c>
      <c r="G24" s="35">
        <v>2960</v>
      </c>
      <c r="H24" s="36">
        <f>IFERROR(INDEX(Masters!$D$5:$D$16,MATCH(D24,Masters!$A$5:$A$16,0)),"")</f>
        <v>4</v>
      </c>
      <c r="I24" s="37">
        <f t="shared" si="0"/>
        <v>11840</v>
      </c>
      <c r="J24" s="33" t="s">
        <v>129</v>
      </c>
      <c r="K24" s="38">
        <f>IF(OR(B24="",D24=""),"",IFERROR(B24+VLOOKUP(D24,Masters!$A$5:$E$16,5,FALSE()),""))</f>
        <v>46144</v>
      </c>
      <c r="L24" s="13">
        <v>46144</v>
      </c>
      <c r="M24" s="33" t="s">
        <v>104</v>
      </c>
      <c r="N24" s="34">
        <f t="shared" si="1"/>
        <v>0</v>
      </c>
      <c r="O24" s="34" t="str">
        <f t="shared" si="2"/>
        <v>Yes</v>
      </c>
      <c r="P24" s="39">
        <f t="shared" si="3"/>
        <v>46113</v>
      </c>
      <c r="Q24" s="34" t="str">
        <f t="shared" si="4"/>
        <v>OK</v>
      </c>
    </row>
    <row r="25" spans="1:17" x14ac:dyDescent="0.3">
      <c r="A25" s="33" t="s">
        <v>173</v>
      </c>
      <c r="B25" s="13">
        <v>46142</v>
      </c>
      <c r="C25" s="33" t="s">
        <v>131</v>
      </c>
      <c r="D25" s="33" t="s">
        <v>161</v>
      </c>
      <c r="E25" s="34" t="str">
        <f>IFERROR(VLOOKUP(D25,Masters!$A$5:$E$16,2,FALSE()),"")</f>
        <v>Delhi</v>
      </c>
      <c r="F25" s="34" t="str">
        <f>IFERROR(VLOOKUP(D25,Masters!$A$5:$E$16,3,FALSE()),"")</f>
        <v>Chandigarh</v>
      </c>
      <c r="G25" s="35">
        <v>3960</v>
      </c>
      <c r="H25" s="36">
        <f>IFERROR(INDEX(Masters!$D$5:$D$16,MATCH(D25,Masters!$A$5:$A$16,0)),"")</f>
        <v>3</v>
      </c>
      <c r="I25" s="37">
        <f t="shared" si="0"/>
        <v>11880</v>
      </c>
      <c r="J25" s="33" t="s">
        <v>129</v>
      </c>
      <c r="K25" s="38">
        <f>IF(OR(B25="",D25=""),"",IFERROR(B25+VLOOKUP(D25,Masters!$A$5:$E$16,5,FALSE()),""))</f>
        <v>46144</v>
      </c>
      <c r="L25" s="13">
        <v>46145</v>
      </c>
      <c r="M25" s="33" t="s">
        <v>104</v>
      </c>
      <c r="N25" s="34">
        <f t="shared" si="1"/>
        <v>1</v>
      </c>
      <c r="O25" s="34" t="str">
        <f t="shared" si="2"/>
        <v>No</v>
      </c>
      <c r="P25" s="39">
        <f t="shared" si="3"/>
        <v>46113</v>
      </c>
      <c r="Q25" s="34" t="str">
        <f t="shared" si="4"/>
        <v>OK</v>
      </c>
    </row>
    <row r="26" spans="1:17" x14ac:dyDescent="0.3">
      <c r="A26" s="33" t="s">
        <v>174</v>
      </c>
      <c r="B26" s="13">
        <v>46143</v>
      </c>
      <c r="C26" s="33" t="s">
        <v>127</v>
      </c>
      <c r="D26" s="33" t="s">
        <v>135</v>
      </c>
      <c r="E26" s="34" t="str">
        <f>IFERROR(VLOOKUP(D26,Masters!$A$5:$E$16,2,FALSE()),"")</f>
        <v>Delhi</v>
      </c>
      <c r="F26" s="34" t="str">
        <f>IFERROR(VLOOKUP(D26,Masters!$A$5:$E$16,3,FALSE()),"")</f>
        <v>Lucknow</v>
      </c>
      <c r="G26" s="35">
        <v>2030</v>
      </c>
      <c r="H26" s="36">
        <f>IFERROR(INDEX(Masters!$D$5:$D$16,MATCH(D26,Masters!$A$5:$A$16,0)),"")</f>
        <v>5.2</v>
      </c>
      <c r="I26" s="37">
        <f t="shared" si="0"/>
        <v>10556</v>
      </c>
      <c r="J26" s="33" t="s">
        <v>144</v>
      </c>
      <c r="K26" s="38">
        <f>IF(OR(B26="",D26=""),"",IFERROR(B26+VLOOKUP(D26,Masters!$A$5:$E$16,5,FALSE()),""))</f>
        <v>46146</v>
      </c>
      <c r="L26" s="13">
        <v>46146</v>
      </c>
      <c r="M26" s="33" t="s">
        <v>104</v>
      </c>
      <c r="N26" s="34">
        <f t="shared" si="1"/>
        <v>0</v>
      </c>
      <c r="O26" s="34" t="str">
        <f t="shared" si="2"/>
        <v>Yes</v>
      </c>
      <c r="P26" s="39">
        <f t="shared" si="3"/>
        <v>46143</v>
      </c>
      <c r="Q26" s="34" t="str">
        <f t="shared" si="4"/>
        <v>OK</v>
      </c>
    </row>
    <row r="27" spans="1:17" x14ac:dyDescent="0.3">
      <c r="A27" s="33" t="s">
        <v>175</v>
      </c>
      <c r="B27" s="13">
        <v>46143</v>
      </c>
      <c r="C27" s="33" t="s">
        <v>146</v>
      </c>
      <c r="D27" s="33" t="s">
        <v>132</v>
      </c>
      <c r="E27" s="34" t="str">
        <f>IFERROR(VLOOKUP(D27,Masters!$A$5:$E$16,2,FALSE()),"")</f>
        <v>Delhi</v>
      </c>
      <c r="F27" s="34" t="str">
        <f>IFERROR(VLOOKUP(D27,Masters!$A$5:$E$16,3,FALSE()),"")</f>
        <v>Ahmedabad</v>
      </c>
      <c r="G27" s="35">
        <v>2260</v>
      </c>
      <c r="H27" s="36">
        <f>IFERROR(INDEX(Masters!$D$5:$D$16,MATCH(D27,Masters!$A$5:$A$16,0)),"")</f>
        <v>7.5</v>
      </c>
      <c r="I27" s="37">
        <f t="shared" si="0"/>
        <v>16950</v>
      </c>
      <c r="J27" s="33" t="s">
        <v>144</v>
      </c>
      <c r="K27" s="38">
        <f>IF(OR(B27="",D27=""),"",IFERROR(B27+VLOOKUP(D27,Masters!$A$5:$E$16,5,FALSE()),""))</f>
        <v>46147</v>
      </c>
      <c r="L27" s="13">
        <v>46149</v>
      </c>
      <c r="M27" s="33" t="s">
        <v>104</v>
      </c>
      <c r="N27" s="34">
        <f t="shared" si="1"/>
        <v>2</v>
      </c>
      <c r="O27" s="34" t="str">
        <f t="shared" si="2"/>
        <v>No</v>
      </c>
      <c r="P27" s="39">
        <f t="shared" si="3"/>
        <v>46143</v>
      </c>
      <c r="Q27" s="34" t="str">
        <f t="shared" si="4"/>
        <v>OK</v>
      </c>
    </row>
    <row r="28" spans="1:17" x14ac:dyDescent="0.3">
      <c r="A28" s="33" t="s">
        <v>176</v>
      </c>
      <c r="B28" s="13">
        <v>46144</v>
      </c>
      <c r="C28" s="33" t="s">
        <v>131</v>
      </c>
      <c r="D28" s="33" t="s">
        <v>154</v>
      </c>
      <c r="E28" s="34" t="str">
        <f>IFERROR(VLOOKUP(D28,Masters!$A$5:$E$16,2,FALSE()),"")</f>
        <v>Delhi</v>
      </c>
      <c r="F28" s="34" t="str">
        <f>IFERROR(VLOOKUP(D28,Masters!$A$5:$E$16,3,FALSE()),"")</f>
        <v>Bhopal</v>
      </c>
      <c r="G28" s="35">
        <v>6700</v>
      </c>
      <c r="H28" s="36">
        <f>IFERROR(INDEX(Masters!$D$5:$D$16,MATCH(D28,Masters!$A$5:$A$16,0)),"")</f>
        <v>8</v>
      </c>
      <c r="I28" s="37">
        <f t="shared" si="0"/>
        <v>53600</v>
      </c>
      <c r="J28" s="33" t="s">
        <v>136</v>
      </c>
      <c r="K28" s="38">
        <f>IF(OR(B28="",D28=""),"",IFERROR(B28+VLOOKUP(D28,Masters!$A$5:$E$16,5,FALSE()),""))</f>
        <v>46149</v>
      </c>
      <c r="L28" s="13">
        <v>46149</v>
      </c>
      <c r="M28" s="33" t="s">
        <v>104</v>
      </c>
      <c r="N28" s="34">
        <f t="shared" si="1"/>
        <v>0</v>
      </c>
      <c r="O28" s="34" t="str">
        <f t="shared" si="2"/>
        <v>Yes</v>
      </c>
      <c r="P28" s="39">
        <f t="shared" si="3"/>
        <v>46143</v>
      </c>
      <c r="Q28" s="34" t="str">
        <f t="shared" si="4"/>
        <v>OK</v>
      </c>
    </row>
    <row r="29" spans="1:17" x14ac:dyDescent="0.3">
      <c r="A29" s="33" t="s">
        <v>177</v>
      </c>
      <c r="B29" s="13">
        <v>46144</v>
      </c>
      <c r="C29" s="33" t="s">
        <v>131</v>
      </c>
      <c r="D29" s="33" t="s">
        <v>128</v>
      </c>
      <c r="E29" s="34" t="str">
        <f>IFERROR(VLOOKUP(D29,Masters!$A$5:$E$16,2,FALSE()),"")</f>
        <v>Ghaziabad</v>
      </c>
      <c r="F29" s="34" t="str">
        <f>IFERROR(VLOOKUP(D29,Masters!$A$5:$E$16,3,FALSE()),"")</f>
        <v>Meerut</v>
      </c>
      <c r="G29" s="35">
        <v>8060</v>
      </c>
      <c r="H29" s="36">
        <f>IFERROR(INDEX(Masters!$D$5:$D$16,MATCH(D29,Masters!$A$5:$A$16,0)),"")</f>
        <v>1.8</v>
      </c>
      <c r="I29" s="37">
        <f t="shared" si="0"/>
        <v>14508</v>
      </c>
      <c r="J29" s="33" t="s">
        <v>136</v>
      </c>
      <c r="K29" s="38">
        <f>IF(OR(B29="",D29=""),"",IFERROR(B29+VLOOKUP(D29,Masters!$A$5:$E$16,5,FALSE()),""))</f>
        <v>46145</v>
      </c>
      <c r="L29" s="13">
        <v>46144</v>
      </c>
      <c r="M29" s="33" t="s">
        <v>104</v>
      </c>
      <c r="N29" s="34">
        <f t="shared" si="1"/>
        <v>0</v>
      </c>
      <c r="O29" s="34" t="str">
        <f t="shared" si="2"/>
        <v>Yes</v>
      </c>
      <c r="P29" s="39">
        <f t="shared" si="3"/>
        <v>46143</v>
      </c>
      <c r="Q29" s="34" t="str">
        <f t="shared" si="4"/>
        <v>OK</v>
      </c>
    </row>
    <row r="30" spans="1:17" x14ac:dyDescent="0.3">
      <c r="A30" s="33" t="s">
        <v>178</v>
      </c>
      <c r="B30" s="13">
        <v>46144</v>
      </c>
      <c r="C30" s="33" t="s">
        <v>151</v>
      </c>
      <c r="D30" s="33" t="s">
        <v>154</v>
      </c>
      <c r="E30" s="34" t="str">
        <f>IFERROR(VLOOKUP(D30,Masters!$A$5:$E$16,2,FALSE()),"")</f>
        <v>Delhi</v>
      </c>
      <c r="F30" s="34" t="str">
        <f>IFERROR(VLOOKUP(D30,Masters!$A$5:$E$16,3,FALSE()),"")</f>
        <v>Bhopal</v>
      </c>
      <c r="G30" s="35">
        <v>1600</v>
      </c>
      <c r="H30" s="36">
        <f>IFERROR(INDEX(Masters!$D$5:$D$16,MATCH(D30,Masters!$A$5:$A$16,0)),"")</f>
        <v>8</v>
      </c>
      <c r="I30" s="37">
        <f t="shared" si="0"/>
        <v>12800</v>
      </c>
      <c r="J30" s="33" t="s">
        <v>144</v>
      </c>
      <c r="K30" s="38">
        <f>IF(OR(B30="",D30=""),"",IFERROR(B30+VLOOKUP(D30,Masters!$A$5:$E$16,5,FALSE()),""))</f>
        <v>46149</v>
      </c>
      <c r="L30" s="13">
        <v>46149</v>
      </c>
      <c r="M30" s="33" t="s">
        <v>104</v>
      </c>
      <c r="N30" s="34">
        <f t="shared" si="1"/>
        <v>0</v>
      </c>
      <c r="O30" s="34" t="str">
        <f t="shared" si="2"/>
        <v>Yes</v>
      </c>
      <c r="P30" s="39">
        <f t="shared" si="3"/>
        <v>46143</v>
      </c>
      <c r="Q30" s="34" t="str">
        <f t="shared" si="4"/>
        <v>OK</v>
      </c>
    </row>
    <row r="31" spans="1:17" x14ac:dyDescent="0.3">
      <c r="A31" s="33" t="s">
        <v>179</v>
      </c>
      <c r="B31" s="13">
        <v>46144</v>
      </c>
      <c r="C31" s="33" t="s">
        <v>180</v>
      </c>
      <c r="D31" s="33" t="s">
        <v>154</v>
      </c>
      <c r="E31" s="34" t="str">
        <f>IFERROR(VLOOKUP(D31,Masters!$A$5:$E$16,2,FALSE()),"")</f>
        <v>Delhi</v>
      </c>
      <c r="F31" s="34" t="str">
        <f>IFERROR(VLOOKUP(D31,Masters!$A$5:$E$16,3,FALSE()),"")</f>
        <v>Bhopal</v>
      </c>
      <c r="G31" s="35">
        <v>4280</v>
      </c>
      <c r="H31" s="36">
        <f>IFERROR(INDEX(Masters!$D$5:$D$16,MATCH(D31,Masters!$A$5:$A$16,0)),"")</f>
        <v>8</v>
      </c>
      <c r="I31" s="37">
        <f t="shared" si="0"/>
        <v>34240</v>
      </c>
      <c r="J31" s="33" t="s">
        <v>129</v>
      </c>
      <c r="K31" s="38">
        <f>IF(OR(B31="",D31=""),"",IFERROR(B31+VLOOKUP(D31,Masters!$A$5:$E$16,5,FALSE()),""))</f>
        <v>46149</v>
      </c>
      <c r="L31" s="13">
        <v>46148</v>
      </c>
      <c r="M31" s="33" t="s">
        <v>104</v>
      </c>
      <c r="N31" s="34">
        <f t="shared" si="1"/>
        <v>0</v>
      </c>
      <c r="O31" s="34" t="str">
        <f t="shared" si="2"/>
        <v>Yes</v>
      </c>
      <c r="P31" s="39">
        <f t="shared" si="3"/>
        <v>46143</v>
      </c>
      <c r="Q31" s="34" t="str">
        <f t="shared" si="4"/>
        <v>OK</v>
      </c>
    </row>
    <row r="32" spans="1:17" x14ac:dyDescent="0.3">
      <c r="A32" s="33" t="s">
        <v>181</v>
      </c>
      <c r="B32" s="13">
        <v>46146</v>
      </c>
      <c r="C32" s="33" t="s">
        <v>127</v>
      </c>
      <c r="D32" s="33" t="s">
        <v>128</v>
      </c>
      <c r="E32" s="34" t="str">
        <f>IFERROR(VLOOKUP(D32,Masters!$A$5:$E$16,2,FALSE()),"")</f>
        <v>Ghaziabad</v>
      </c>
      <c r="F32" s="34" t="str">
        <f>IFERROR(VLOOKUP(D32,Masters!$A$5:$E$16,3,FALSE()),"")</f>
        <v>Meerut</v>
      </c>
      <c r="G32" s="35">
        <v>7230</v>
      </c>
      <c r="H32" s="36">
        <f>IFERROR(INDEX(Masters!$D$5:$D$16,MATCH(D32,Masters!$A$5:$A$16,0)),"")</f>
        <v>1.8</v>
      </c>
      <c r="I32" s="37">
        <f t="shared" si="0"/>
        <v>13014</v>
      </c>
      <c r="J32" s="33" t="s">
        <v>136</v>
      </c>
      <c r="K32" s="38">
        <f>IF(OR(B32="",D32=""),"",IFERROR(B32+VLOOKUP(D32,Masters!$A$5:$E$16,5,FALSE()),""))</f>
        <v>46147</v>
      </c>
      <c r="L32" s="13">
        <v>46150</v>
      </c>
      <c r="M32" s="33" t="s">
        <v>104</v>
      </c>
      <c r="N32" s="34">
        <f t="shared" si="1"/>
        <v>3</v>
      </c>
      <c r="O32" s="34" t="str">
        <f t="shared" si="2"/>
        <v>No</v>
      </c>
      <c r="P32" s="39">
        <f t="shared" si="3"/>
        <v>46143</v>
      </c>
      <c r="Q32" s="34" t="str">
        <f t="shared" si="4"/>
        <v>OK</v>
      </c>
    </row>
    <row r="33" spans="1:17" x14ac:dyDescent="0.3">
      <c r="A33" s="33" t="s">
        <v>182</v>
      </c>
      <c r="B33" s="13">
        <v>46146</v>
      </c>
      <c r="C33" s="33" t="s">
        <v>127</v>
      </c>
      <c r="D33" s="33" t="s">
        <v>143</v>
      </c>
      <c r="E33" s="34" t="str">
        <f>IFERROR(VLOOKUP(D33,Masters!$A$5:$E$16,2,FALSE()),"")</f>
        <v>Delhi</v>
      </c>
      <c r="F33" s="34" t="str">
        <f>IFERROR(VLOOKUP(D33,Masters!$A$5:$E$16,3,FALSE()),"")</f>
        <v>Kanpur</v>
      </c>
      <c r="G33" s="35">
        <v>0</v>
      </c>
      <c r="H33" s="36">
        <f>IFERROR(INDEX(Masters!$D$5:$D$16,MATCH(D33,Masters!$A$5:$A$16,0)),"")</f>
        <v>4.5</v>
      </c>
      <c r="I33" s="37">
        <f t="shared" si="0"/>
        <v>0</v>
      </c>
      <c r="J33" s="33" t="s">
        <v>157</v>
      </c>
      <c r="K33" s="38">
        <f>IF(OR(B33="",D33=""),"",IFERROR(B33+VLOOKUP(D33,Masters!$A$5:$E$16,5,FALSE()),""))</f>
        <v>46149</v>
      </c>
      <c r="L33" s="13">
        <v>46148</v>
      </c>
      <c r="M33" s="33" t="s">
        <v>104</v>
      </c>
      <c r="N33" s="34">
        <f t="shared" si="1"/>
        <v>0</v>
      </c>
      <c r="O33" s="34" t="str">
        <f t="shared" si="2"/>
        <v>Yes</v>
      </c>
      <c r="P33" s="39">
        <f t="shared" si="3"/>
        <v>46143</v>
      </c>
      <c r="Q33" s="34" t="str">
        <f t="shared" si="4"/>
        <v>Invalid Weight</v>
      </c>
    </row>
    <row r="34" spans="1:17" x14ac:dyDescent="0.3">
      <c r="A34" s="33" t="s">
        <v>183</v>
      </c>
      <c r="B34" s="13">
        <v>46147</v>
      </c>
      <c r="C34" s="33" t="s">
        <v>127</v>
      </c>
      <c r="D34" s="33" t="s">
        <v>184</v>
      </c>
      <c r="E34" s="34" t="str">
        <f>IFERROR(VLOOKUP(D34,Masters!$A$5:$E$16,2,FALSE()),"")</f>
        <v>Delhi</v>
      </c>
      <c r="F34" s="34" t="str">
        <f>IFERROR(VLOOKUP(D34,Masters!$A$5:$E$16,3,FALSE()),"")</f>
        <v>Agra</v>
      </c>
      <c r="G34" s="35">
        <v>3740</v>
      </c>
      <c r="H34" s="36">
        <f>IFERROR(INDEX(Masters!$D$5:$D$16,MATCH(D34,Masters!$A$5:$A$16,0)),"")</f>
        <v>2.8</v>
      </c>
      <c r="I34" s="37">
        <f t="shared" si="0"/>
        <v>10472</v>
      </c>
      <c r="J34" s="33" t="s">
        <v>129</v>
      </c>
      <c r="K34" s="38">
        <f>IF(OR(B34="",D34=""),"",IFERROR(B34+VLOOKUP(D34,Masters!$A$5:$E$16,5,FALSE()),""))</f>
        <v>46149</v>
      </c>
      <c r="L34" s="13">
        <v>46152</v>
      </c>
      <c r="M34" s="33" t="s">
        <v>104</v>
      </c>
      <c r="N34" s="34">
        <f t="shared" si="1"/>
        <v>3</v>
      </c>
      <c r="O34" s="34" t="str">
        <f t="shared" si="2"/>
        <v>No</v>
      </c>
      <c r="P34" s="39">
        <f t="shared" si="3"/>
        <v>46143</v>
      </c>
      <c r="Q34" s="34" t="str">
        <f t="shared" si="4"/>
        <v>OK</v>
      </c>
    </row>
    <row r="35" spans="1:17" x14ac:dyDescent="0.3">
      <c r="A35" s="33" t="s">
        <v>185</v>
      </c>
      <c r="B35" s="13">
        <v>46148</v>
      </c>
      <c r="C35" s="33" t="s">
        <v>127</v>
      </c>
      <c r="D35" s="33" t="s">
        <v>135</v>
      </c>
      <c r="E35" s="34" t="str">
        <f>IFERROR(VLOOKUP(D35,Masters!$A$5:$E$16,2,FALSE()),"")</f>
        <v>Delhi</v>
      </c>
      <c r="F35" s="34" t="str">
        <f>IFERROR(VLOOKUP(D35,Masters!$A$5:$E$16,3,FALSE()),"")</f>
        <v>Lucknow</v>
      </c>
      <c r="G35" s="35">
        <v>1450</v>
      </c>
      <c r="H35" s="36">
        <f>IFERROR(INDEX(Masters!$D$5:$D$16,MATCH(D35,Masters!$A$5:$A$16,0)),"")</f>
        <v>5.2</v>
      </c>
      <c r="I35" s="37">
        <f t="shared" si="0"/>
        <v>7540</v>
      </c>
      <c r="J35" s="33" t="s">
        <v>144</v>
      </c>
      <c r="K35" s="38">
        <f>IF(OR(B35="",D35=""),"",IFERROR(B35+VLOOKUP(D35,Masters!$A$5:$E$16,5,FALSE()),""))</f>
        <v>46151</v>
      </c>
      <c r="L35" s="13">
        <v>46151</v>
      </c>
      <c r="M35" s="33" t="s">
        <v>104</v>
      </c>
      <c r="N35" s="34">
        <f t="shared" si="1"/>
        <v>0</v>
      </c>
      <c r="O35" s="34" t="str">
        <f t="shared" si="2"/>
        <v>Yes</v>
      </c>
      <c r="P35" s="39">
        <f t="shared" si="3"/>
        <v>46143</v>
      </c>
      <c r="Q35" s="34" t="str">
        <f t="shared" si="4"/>
        <v>OK</v>
      </c>
    </row>
    <row r="36" spans="1:17" x14ac:dyDescent="0.3">
      <c r="A36" s="33" t="s">
        <v>186</v>
      </c>
      <c r="B36" s="13">
        <v>46148</v>
      </c>
      <c r="C36" s="33" t="s">
        <v>127</v>
      </c>
      <c r="D36" s="33" t="s">
        <v>161</v>
      </c>
      <c r="E36" s="34" t="str">
        <f>IFERROR(VLOOKUP(D36,Masters!$A$5:$E$16,2,FALSE()),"")</f>
        <v>Delhi</v>
      </c>
      <c r="F36" s="34" t="str">
        <f>IFERROR(VLOOKUP(D36,Masters!$A$5:$E$16,3,FALSE()),"")</f>
        <v>Chandigarh</v>
      </c>
      <c r="G36" s="35">
        <v>6550</v>
      </c>
      <c r="H36" s="36">
        <f>IFERROR(INDEX(Masters!$D$5:$D$16,MATCH(D36,Masters!$A$5:$A$16,0)),"")</f>
        <v>3</v>
      </c>
      <c r="I36" s="37">
        <f t="shared" si="0"/>
        <v>19650</v>
      </c>
      <c r="J36" s="33" t="s">
        <v>136</v>
      </c>
      <c r="K36" s="38">
        <f>IF(OR(B36="",D36=""),"",IFERROR(B36+VLOOKUP(D36,Masters!$A$5:$E$16,5,FALSE()),""))</f>
        <v>46150</v>
      </c>
      <c r="L36" s="13">
        <v>46150</v>
      </c>
      <c r="M36" s="33" t="s">
        <v>104</v>
      </c>
      <c r="N36" s="34">
        <f t="shared" si="1"/>
        <v>0</v>
      </c>
      <c r="O36" s="34" t="str">
        <f t="shared" si="2"/>
        <v>Yes</v>
      </c>
      <c r="P36" s="39">
        <f t="shared" si="3"/>
        <v>46143</v>
      </c>
      <c r="Q36" s="34" t="str">
        <f t="shared" si="4"/>
        <v>Duplicate ID</v>
      </c>
    </row>
    <row r="37" spans="1:17" x14ac:dyDescent="0.3">
      <c r="A37" s="33" t="s">
        <v>187</v>
      </c>
      <c r="B37" s="13">
        <v>46148</v>
      </c>
      <c r="C37" s="33" t="s">
        <v>149</v>
      </c>
      <c r="D37" s="33" t="s">
        <v>138</v>
      </c>
      <c r="E37" s="34" t="str">
        <f>IFERROR(VLOOKUP(D37,Masters!$A$5:$E$16,2,FALSE()),"")</f>
        <v>Delhi</v>
      </c>
      <c r="F37" s="34" t="str">
        <f>IFERROR(VLOOKUP(D37,Masters!$A$5:$E$16,3,FALSE()),"")</f>
        <v>Kolkata</v>
      </c>
      <c r="G37" s="35">
        <v>8190</v>
      </c>
      <c r="H37" s="36">
        <f>IFERROR(INDEX(Masters!$D$5:$D$16,MATCH(D37,Masters!$A$5:$A$16,0)),"")</f>
        <v>12</v>
      </c>
      <c r="I37" s="37">
        <f t="shared" si="0"/>
        <v>98280</v>
      </c>
      <c r="J37" s="33" t="s">
        <v>136</v>
      </c>
      <c r="K37" s="38">
        <f>IF(OR(B37="",D37=""),"",IFERROR(B37+VLOOKUP(D37,Masters!$A$5:$E$16,5,FALSE()),""))</f>
        <v>46155</v>
      </c>
      <c r="L37" s="13">
        <v>46156</v>
      </c>
      <c r="M37" s="33" t="s">
        <v>104</v>
      </c>
      <c r="N37" s="34">
        <f t="shared" si="1"/>
        <v>1</v>
      </c>
      <c r="O37" s="34" t="str">
        <f t="shared" si="2"/>
        <v>No</v>
      </c>
      <c r="P37" s="39">
        <f t="shared" si="3"/>
        <v>46143</v>
      </c>
      <c r="Q37" s="34" t="str">
        <f t="shared" si="4"/>
        <v>OK</v>
      </c>
    </row>
    <row r="38" spans="1:17" x14ac:dyDescent="0.3">
      <c r="A38" s="33" t="s">
        <v>188</v>
      </c>
      <c r="B38" s="13">
        <v>46148</v>
      </c>
      <c r="C38" s="33" t="s">
        <v>167</v>
      </c>
      <c r="D38" s="33" t="s">
        <v>159</v>
      </c>
      <c r="E38" s="34" t="str">
        <f>IFERROR(VLOOKUP(D38,Masters!$A$5:$E$16,2,FALSE()),"")</f>
        <v>Delhi</v>
      </c>
      <c r="F38" s="34" t="str">
        <f>IFERROR(VLOOKUP(D38,Masters!$A$5:$E$16,3,FALSE()),"")</f>
        <v>Jaipur</v>
      </c>
      <c r="G38" s="35">
        <v>2560</v>
      </c>
      <c r="H38" s="36">
        <f>IFERROR(INDEX(Masters!$D$5:$D$16,MATCH(D38,Masters!$A$5:$A$16,0)),"")</f>
        <v>3.5</v>
      </c>
      <c r="I38" s="37">
        <f t="shared" si="0"/>
        <v>8960</v>
      </c>
      <c r="J38" s="33" t="s">
        <v>129</v>
      </c>
      <c r="K38" s="38">
        <f>IF(OR(B38="",D38=""),"",IFERROR(B38+VLOOKUP(D38,Masters!$A$5:$E$16,5,FALSE()),""))</f>
        <v>46150</v>
      </c>
      <c r="L38" s="13">
        <v>46150</v>
      </c>
      <c r="M38" s="33" t="s">
        <v>104</v>
      </c>
      <c r="N38" s="34">
        <f t="shared" si="1"/>
        <v>0</v>
      </c>
      <c r="O38" s="34" t="str">
        <f t="shared" si="2"/>
        <v>Yes</v>
      </c>
      <c r="P38" s="39">
        <f t="shared" si="3"/>
        <v>46143</v>
      </c>
      <c r="Q38" s="34" t="str">
        <f t="shared" si="4"/>
        <v>OK</v>
      </c>
    </row>
    <row r="39" spans="1:17" x14ac:dyDescent="0.3">
      <c r="A39" s="33" t="s">
        <v>189</v>
      </c>
      <c r="B39" s="13">
        <v>46148</v>
      </c>
      <c r="C39" s="33" t="s">
        <v>131</v>
      </c>
      <c r="D39" s="33" t="s">
        <v>143</v>
      </c>
      <c r="E39" s="34" t="str">
        <f>IFERROR(VLOOKUP(D39,Masters!$A$5:$E$16,2,FALSE()),"")</f>
        <v>Delhi</v>
      </c>
      <c r="F39" s="34" t="str">
        <f>IFERROR(VLOOKUP(D39,Masters!$A$5:$E$16,3,FALSE()),"")</f>
        <v>Kanpur</v>
      </c>
      <c r="G39" s="35">
        <v>2800</v>
      </c>
      <c r="H39" s="36">
        <f>IFERROR(INDEX(Masters!$D$5:$D$16,MATCH(D39,Masters!$A$5:$A$16,0)),"")</f>
        <v>4.5</v>
      </c>
      <c r="I39" s="37">
        <f t="shared" si="0"/>
        <v>12600</v>
      </c>
      <c r="J39" s="33" t="s">
        <v>129</v>
      </c>
      <c r="K39" s="38">
        <f>IF(OR(B39="",D39=""),"",IFERROR(B39+VLOOKUP(D39,Masters!$A$5:$E$16,5,FALSE()),""))</f>
        <v>46151</v>
      </c>
      <c r="L39" s="13">
        <v>46150</v>
      </c>
      <c r="M39" s="33" t="s">
        <v>104</v>
      </c>
      <c r="N39" s="34">
        <f t="shared" si="1"/>
        <v>0</v>
      </c>
      <c r="O39" s="34" t="str">
        <f t="shared" si="2"/>
        <v>Yes</v>
      </c>
      <c r="P39" s="39">
        <f t="shared" si="3"/>
        <v>46143</v>
      </c>
      <c r="Q39" s="34" t="str">
        <f t="shared" si="4"/>
        <v>OK</v>
      </c>
    </row>
    <row r="40" spans="1:17" x14ac:dyDescent="0.3">
      <c r="A40" s="33" t="s">
        <v>190</v>
      </c>
      <c r="B40" s="13">
        <v>46149</v>
      </c>
      <c r="C40" s="33" t="s">
        <v>171</v>
      </c>
      <c r="D40" s="33" t="s">
        <v>152</v>
      </c>
      <c r="E40" s="34" t="str">
        <f>IFERROR(VLOOKUP(D40,Masters!$A$5:$E$16,2,FALSE()),"")</f>
        <v>Delhi</v>
      </c>
      <c r="F40" s="34" t="str">
        <f>IFERROR(VLOOKUP(D40,Masters!$A$5:$E$16,3,FALSE()),"")</f>
        <v>Dehradun</v>
      </c>
      <c r="G40" s="35">
        <v>2850</v>
      </c>
      <c r="H40" s="36">
        <f>IFERROR(INDEX(Masters!$D$5:$D$16,MATCH(D40,Masters!$A$5:$A$16,0)),"")</f>
        <v>4</v>
      </c>
      <c r="I40" s="37">
        <f t="shared" si="0"/>
        <v>11400</v>
      </c>
      <c r="J40" s="33" t="s">
        <v>129</v>
      </c>
      <c r="K40" s="38">
        <f>IF(OR(B40="",D40=""),"",IFERROR(B40+VLOOKUP(D40,Masters!$A$5:$E$16,5,FALSE()),""))</f>
        <v>46151</v>
      </c>
      <c r="L40" s="13">
        <v>46151</v>
      </c>
      <c r="M40" s="33" t="s">
        <v>104</v>
      </c>
      <c r="N40" s="34">
        <f t="shared" si="1"/>
        <v>0</v>
      </c>
      <c r="O40" s="34" t="str">
        <f t="shared" si="2"/>
        <v>Yes</v>
      </c>
      <c r="P40" s="39">
        <f t="shared" si="3"/>
        <v>46143</v>
      </c>
      <c r="Q40" s="34" t="str">
        <f t="shared" si="4"/>
        <v>OK</v>
      </c>
    </row>
    <row r="41" spans="1:17" x14ac:dyDescent="0.3">
      <c r="A41" s="33" t="s">
        <v>191</v>
      </c>
      <c r="B41" s="13">
        <v>46150</v>
      </c>
      <c r="C41" s="33" t="s">
        <v>131</v>
      </c>
      <c r="D41" s="33" t="s">
        <v>184</v>
      </c>
      <c r="E41" s="34" t="str">
        <f>IFERROR(VLOOKUP(D41,Masters!$A$5:$E$16,2,FALSE()),"")</f>
        <v>Delhi</v>
      </c>
      <c r="F41" s="34" t="str">
        <f>IFERROR(VLOOKUP(D41,Masters!$A$5:$E$16,3,FALSE()),"")</f>
        <v>Agra</v>
      </c>
      <c r="G41" s="35">
        <v>8830</v>
      </c>
      <c r="H41" s="36">
        <f>IFERROR(INDEX(Masters!$D$5:$D$16,MATCH(D41,Masters!$A$5:$A$16,0)),"")</f>
        <v>2.8</v>
      </c>
      <c r="I41" s="37">
        <f t="shared" si="0"/>
        <v>24724</v>
      </c>
      <c r="J41" s="33" t="s">
        <v>136</v>
      </c>
      <c r="K41" s="38">
        <f>IF(OR(B41="",D41=""),"",IFERROR(B41+VLOOKUP(D41,Masters!$A$5:$E$16,5,FALSE()),""))</f>
        <v>46152</v>
      </c>
      <c r="L41" s="13">
        <v>46152</v>
      </c>
      <c r="M41" s="33" t="s">
        <v>104</v>
      </c>
      <c r="N41" s="34">
        <f t="shared" si="1"/>
        <v>0</v>
      </c>
      <c r="O41" s="34" t="str">
        <f t="shared" si="2"/>
        <v>Yes</v>
      </c>
      <c r="P41" s="39">
        <f t="shared" si="3"/>
        <v>46143</v>
      </c>
      <c r="Q41" s="34" t="str">
        <f t="shared" si="4"/>
        <v>OK</v>
      </c>
    </row>
    <row r="42" spans="1:17" x14ac:dyDescent="0.3">
      <c r="A42" s="33" t="s">
        <v>192</v>
      </c>
      <c r="B42" s="13">
        <v>46151</v>
      </c>
      <c r="C42" s="33" t="s">
        <v>142</v>
      </c>
      <c r="D42" s="33" t="s">
        <v>128</v>
      </c>
      <c r="E42" s="34" t="str">
        <f>IFERROR(VLOOKUP(D42,Masters!$A$5:$E$16,2,FALSE()),"")</f>
        <v>Ghaziabad</v>
      </c>
      <c r="F42" s="34" t="str">
        <f>IFERROR(VLOOKUP(D42,Masters!$A$5:$E$16,3,FALSE()),"")</f>
        <v>Meerut</v>
      </c>
      <c r="G42" s="35">
        <v>9670</v>
      </c>
      <c r="H42" s="36">
        <f>IFERROR(INDEX(Masters!$D$5:$D$16,MATCH(D42,Masters!$A$5:$A$16,0)),"")</f>
        <v>1.8</v>
      </c>
      <c r="I42" s="37">
        <f t="shared" si="0"/>
        <v>17406</v>
      </c>
      <c r="J42" s="33" t="s">
        <v>157</v>
      </c>
      <c r="K42" s="38">
        <f>IF(OR(B42="",D42=""),"",IFERROR(B42+VLOOKUP(D42,Masters!$A$5:$E$16,5,FALSE()),""))</f>
        <v>46152</v>
      </c>
      <c r="L42" s="13">
        <v>46155</v>
      </c>
      <c r="M42" s="33" t="s">
        <v>104</v>
      </c>
      <c r="N42" s="34">
        <f t="shared" si="1"/>
        <v>3</v>
      </c>
      <c r="O42" s="34" t="str">
        <f t="shared" si="2"/>
        <v>No</v>
      </c>
      <c r="P42" s="39">
        <f t="shared" si="3"/>
        <v>46143</v>
      </c>
      <c r="Q42" s="34" t="str">
        <f t="shared" si="4"/>
        <v>OK</v>
      </c>
    </row>
    <row r="43" spans="1:17" x14ac:dyDescent="0.3">
      <c r="A43" s="33" t="s">
        <v>193</v>
      </c>
      <c r="B43" s="13">
        <v>46151</v>
      </c>
      <c r="C43" s="33" t="s">
        <v>167</v>
      </c>
      <c r="D43" s="33" t="s">
        <v>140</v>
      </c>
      <c r="E43" s="34" t="str">
        <f>IFERROR(VLOOKUP(D43,Masters!$A$5:$E$16,2,FALSE()),"")</f>
        <v>Delhi</v>
      </c>
      <c r="F43" s="34" t="str">
        <f>IFERROR(VLOOKUP(D43,Masters!$A$5:$E$16,3,FALSE()),"")</f>
        <v>Mumbai</v>
      </c>
      <c r="G43" s="35">
        <v>3350</v>
      </c>
      <c r="H43" s="36">
        <f>IFERROR(INDEX(Masters!$D$5:$D$16,MATCH(D43,Masters!$A$5:$A$16,0)),"")</f>
        <v>9.5</v>
      </c>
      <c r="I43" s="37">
        <f t="shared" si="0"/>
        <v>31825</v>
      </c>
      <c r="J43" s="33" t="s">
        <v>129</v>
      </c>
      <c r="K43" s="38">
        <f>IF(OR(B43="",D43=""),"",IFERROR(B43+VLOOKUP(D43,Masters!$A$5:$E$16,5,FALSE()),""))</f>
        <v>46157</v>
      </c>
      <c r="L43" s="13">
        <v>46158</v>
      </c>
      <c r="M43" s="33" t="s">
        <v>104</v>
      </c>
      <c r="N43" s="34">
        <f t="shared" si="1"/>
        <v>1</v>
      </c>
      <c r="O43" s="34" t="str">
        <f t="shared" si="2"/>
        <v>No</v>
      </c>
      <c r="P43" s="39">
        <f t="shared" si="3"/>
        <v>46143</v>
      </c>
      <c r="Q43" s="34" t="str">
        <f t="shared" si="4"/>
        <v>OK</v>
      </c>
    </row>
    <row r="44" spans="1:17" x14ac:dyDescent="0.3">
      <c r="A44" s="33" t="s">
        <v>194</v>
      </c>
      <c r="B44" s="13">
        <v>46151</v>
      </c>
      <c r="C44" s="33" t="s">
        <v>146</v>
      </c>
      <c r="D44" s="33" t="s">
        <v>140</v>
      </c>
      <c r="E44" s="34" t="str">
        <f>IFERROR(VLOOKUP(D44,Masters!$A$5:$E$16,2,FALSE()),"")</f>
        <v>Delhi</v>
      </c>
      <c r="F44" s="34" t="str">
        <f>IFERROR(VLOOKUP(D44,Masters!$A$5:$E$16,3,FALSE()),"")</f>
        <v>Mumbai</v>
      </c>
      <c r="G44" s="35">
        <v>5230</v>
      </c>
      <c r="H44" s="36">
        <f>IFERROR(INDEX(Masters!$D$5:$D$16,MATCH(D44,Masters!$A$5:$A$16,0)),"")</f>
        <v>9.5</v>
      </c>
      <c r="I44" s="37">
        <f t="shared" si="0"/>
        <v>49685</v>
      </c>
      <c r="J44" s="33" t="s">
        <v>136</v>
      </c>
      <c r="K44" s="38">
        <f>IF(OR(B44="",D44=""),"",IFERROR(B44+VLOOKUP(D44,Masters!$A$5:$E$16,5,FALSE()),""))</f>
        <v>46157</v>
      </c>
      <c r="L44" s="13">
        <v>46157</v>
      </c>
      <c r="M44" s="33" t="s">
        <v>104</v>
      </c>
      <c r="N44" s="34">
        <f t="shared" si="1"/>
        <v>0</v>
      </c>
      <c r="O44" s="34" t="str">
        <f t="shared" si="2"/>
        <v>Yes</v>
      </c>
      <c r="P44" s="39">
        <f t="shared" si="3"/>
        <v>46143</v>
      </c>
      <c r="Q44" s="34" t="str">
        <f t="shared" si="4"/>
        <v>OK</v>
      </c>
    </row>
    <row r="45" spans="1:17" x14ac:dyDescent="0.3">
      <c r="A45" s="33" t="s">
        <v>195</v>
      </c>
      <c r="B45" s="13">
        <v>46152</v>
      </c>
      <c r="C45" s="33" t="s">
        <v>156</v>
      </c>
      <c r="D45" s="33" t="s">
        <v>128</v>
      </c>
      <c r="E45" s="34" t="str">
        <f>IFERROR(VLOOKUP(D45,Masters!$A$5:$E$16,2,FALSE()),"")</f>
        <v>Ghaziabad</v>
      </c>
      <c r="F45" s="34" t="str">
        <f>IFERROR(VLOOKUP(D45,Masters!$A$5:$E$16,3,FALSE()),"")</f>
        <v>Meerut</v>
      </c>
      <c r="G45" s="35">
        <v>1160</v>
      </c>
      <c r="H45" s="36">
        <f>IFERROR(INDEX(Masters!$D$5:$D$16,MATCH(D45,Masters!$A$5:$A$16,0)),"")</f>
        <v>1.8</v>
      </c>
      <c r="I45" s="37">
        <f t="shared" si="0"/>
        <v>2088</v>
      </c>
      <c r="J45" s="33" t="s">
        <v>144</v>
      </c>
      <c r="K45" s="38">
        <f>IF(OR(B45="",D45=""),"",IFERROR(B45+VLOOKUP(D45,Masters!$A$5:$E$16,5,FALSE()),""))</f>
        <v>46153</v>
      </c>
      <c r="L45" s="13">
        <v>46153</v>
      </c>
      <c r="M45" s="33" t="s">
        <v>104</v>
      </c>
      <c r="N45" s="34">
        <f t="shared" si="1"/>
        <v>0</v>
      </c>
      <c r="O45" s="34" t="str">
        <f t="shared" si="2"/>
        <v>Yes</v>
      </c>
      <c r="P45" s="39">
        <f t="shared" si="3"/>
        <v>46143</v>
      </c>
      <c r="Q45" s="34" t="str">
        <f t="shared" si="4"/>
        <v>OK</v>
      </c>
    </row>
    <row r="46" spans="1:17" x14ac:dyDescent="0.3">
      <c r="A46" s="33" t="s">
        <v>196</v>
      </c>
      <c r="B46" s="13">
        <v>46152</v>
      </c>
      <c r="C46" s="33" t="s">
        <v>142</v>
      </c>
      <c r="D46" s="33" t="s">
        <v>140</v>
      </c>
      <c r="E46" s="34" t="str">
        <f>IFERROR(VLOOKUP(D46,Masters!$A$5:$E$16,2,FALSE()),"")</f>
        <v>Delhi</v>
      </c>
      <c r="F46" s="34" t="str">
        <f>IFERROR(VLOOKUP(D46,Masters!$A$5:$E$16,3,FALSE()),"")</f>
        <v>Mumbai</v>
      </c>
      <c r="G46" s="35">
        <v>5120</v>
      </c>
      <c r="H46" s="36">
        <f>IFERROR(INDEX(Masters!$D$5:$D$16,MATCH(D46,Masters!$A$5:$A$16,0)),"")</f>
        <v>9.5</v>
      </c>
      <c r="I46" s="37">
        <f t="shared" si="0"/>
        <v>48640</v>
      </c>
      <c r="J46" s="33" t="s">
        <v>136</v>
      </c>
      <c r="K46" s="38">
        <f>IF(OR(B46="",D46=""),"",IFERROR(B46+VLOOKUP(D46,Masters!$A$5:$E$16,5,FALSE()),""))</f>
        <v>46158</v>
      </c>
      <c r="L46" s="13">
        <v>46158</v>
      </c>
      <c r="M46" s="33" t="s">
        <v>104</v>
      </c>
      <c r="N46" s="34">
        <f t="shared" si="1"/>
        <v>0</v>
      </c>
      <c r="O46" s="34" t="str">
        <f t="shared" si="2"/>
        <v>Yes</v>
      </c>
      <c r="P46" s="39">
        <f t="shared" si="3"/>
        <v>46143</v>
      </c>
      <c r="Q46" s="34" t="str">
        <f t="shared" si="4"/>
        <v>OK</v>
      </c>
    </row>
    <row r="47" spans="1:17" x14ac:dyDescent="0.3">
      <c r="A47" s="33" t="s">
        <v>197</v>
      </c>
      <c r="B47" s="13">
        <v>46152</v>
      </c>
      <c r="C47" s="33" t="s">
        <v>156</v>
      </c>
      <c r="D47" s="33" t="s">
        <v>143</v>
      </c>
      <c r="E47" s="34" t="str">
        <f>IFERROR(VLOOKUP(D47,Masters!$A$5:$E$16,2,FALSE()),"")</f>
        <v>Delhi</v>
      </c>
      <c r="F47" s="34" t="str">
        <f>IFERROR(VLOOKUP(D47,Masters!$A$5:$E$16,3,FALSE()),"")</f>
        <v>Kanpur</v>
      </c>
      <c r="G47" s="35">
        <v>5640</v>
      </c>
      <c r="H47" s="36">
        <f>IFERROR(INDEX(Masters!$D$5:$D$16,MATCH(D47,Masters!$A$5:$A$16,0)),"")</f>
        <v>4.5</v>
      </c>
      <c r="I47" s="37">
        <f t="shared" si="0"/>
        <v>25380</v>
      </c>
      <c r="J47" s="33" t="s">
        <v>136</v>
      </c>
      <c r="K47" s="38">
        <f>IF(OR(B47="",D47=""),"",IFERROR(B47+VLOOKUP(D47,Masters!$A$5:$E$16,5,FALSE()),""))</f>
        <v>46155</v>
      </c>
      <c r="L47" s="13">
        <v>46155</v>
      </c>
      <c r="M47" s="33" t="s">
        <v>104</v>
      </c>
      <c r="N47" s="34">
        <f t="shared" si="1"/>
        <v>0</v>
      </c>
      <c r="O47" s="34" t="str">
        <f t="shared" si="2"/>
        <v>Yes</v>
      </c>
      <c r="P47" s="39">
        <f t="shared" si="3"/>
        <v>46143</v>
      </c>
      <c r="Q47" s="34" t="str">
        <f t="shared" si="4"/>
        <v>OK</v>
      </c>
    </row>
    <row r="48" spans="1:17" x14ac:dyDescent="0.3">
      <c r="A48" s="33" t="s">
        <v>198</v>
      </c>
      <c r="B48" s="13">
        <v>46153</v>
      </c>
      <c r="C48" s="33" t="s">
        <v>180</v>
      </c>
      <c r="D48" s="33" t="s">
        <v>128</v>
      </c>
      <c r="E48" s="34" t="str">
        <f>IFERROR(VLOOKUP(D48,Masters!$A$5:$E$16,2,FALSE()),"")</f>
        <v>Ghaziabad</v>
      </c>
      <c r="F48" s="34" t="str">
        <f>IFERROR(VLOOKUP(D48,Masters!$A$5:$E$16,3,FALSE()),"")</f>
        <v>Meerut</v>
      </c>
      <c r="G48" s="35">
        <v>2680</v>
      </c>
      <c r="H48" s="36">
        <f>IFERROR(INDEX(Masters!$D$5:$D$16,MATCH(D48,Masters!$A$5:$A$16,0)),"")</f>
        <v>1.8</v>
      </c>
      <c r="I48" s="37">
        <f t="shared" si="0"/>
        <v>4824</v>
      </c>
      <c r="J48" s="33" t="s">
        <v>129</v>
      </c>
      <c r="K48" s="38">
        <f>IF(OR(B48="",D48=""),"",IFERROR(B48+VLOOKUP(D48,Masters!$A$5:$E$16,5,FALSE()),""))</f>
        <v>46154</v>
      </c>
      <c r="L48" s="13">
        <v>46156</v>
      </c>
      <c r="M48" s="33" t="s">
        <v>104</v>
      </c>
      <c r="N48" s="34">
        <f t="shared" si="1"/>
        <v>2</v>
      </c>
      <c r="O48" s="34" t="str">
        <f t="shared" si="2"/>
        <v>No</v>
      </c>
      <c r="P48" s="39">
        <f t="shared" si="3"/>
        <v>46143</v>
      </c>
      <c r="Q48" s="34" t="str">
        <f t="shared" si="4"/>
        <v>OK</v>
      </c>
    </row>
    <row r="49" spans="1:17" x14ac:dyDescent="0.3">
      <c r="A49" s="33" t="s">
        <v>199</v>
      </c>
      <c r="B49" s="13">
        <v>46153</v>
      </c>
      <c r="C49" s="33" t="s">
        <v>167</v>
      </c>
      <c r="D49" s="33" t="s">
        <v>159</v>
      </c>
      <c r="E49" s="34" t="str">
        <f>IFERROR(VLOOKUP(D49,Masters!$A$5:$E$16,2,FALSE()),"")</f>
        <v>Delhi</v>
      </c>
      <c r="F49" s="34" t="str">
        <f>IFERROR(VLOOKUP(D49,Masters!$A$5:$E$16,3,FALSE()),"")</f>
        <v>Jaipur</v>
      </c>
      <c r="G49" s="35">
        <v>4470</v>
      </c>
      <c r="H49" s="36">
        <f>IFERROR(INDEX(Masters!$D$5:$D$16,MATCH(D49,Masters!$A$5:$A$16,0)),"")</f>
        <v>3.5</v>
      </c>
      <c r="I49" s="37">
        <f t="shared" si="0"/>
        <v>15645</v>
      </c>
      <c r="J49" s="33" t="s">
        <v>129</v>
      </c>
      <c r="K49" s="38">
        <f>IF(OR(B49="",D49=""),"",IFERROR(B49+VLOOKUP(D49,Masters!$A$5:$E$16,5,FALSE()),""))</f>
        <v>46155</v>
      </c>
      <c r="L49" s="13">
        <v>46155</v>
      </c>
      <c r="M49" s="33" t="s">
        <v>104</v>
      </c>
      <c r="N49" s="34">
        <f t="shared" si="1"/>
        <v>0</v>
      </c>
      <c r="O49" s="34" t="str">
        <f t="shared" si="2"/>
        <v>Yes</v>
      </c>
      <c r="P49" s="39">
        <f t="shared" si="3"/>
        <v>46143</v>
      </c>
      <c r="Q49" s="34" t="str">
        <f t="shared" si="4"/>
        <v>OK</v>
      </c>
    </row>
    <row r="50" spans="1:17" x14ac:dyDescent="0.3">
      <c r="A50" s="33" t="s">
        <v>200</v>
      </c>
      <c r="B50" s="13">
        <v>46154</v>
      </c>
      <c r="C50" s="33" t="s">
        <v>146</v>
      </c>
      <c r="D50" s="33" t="s">
        <v>140</v>
      </c>
      <c r="E50" s="34" t="str">
        <f>IFERROR(VLOOKUP(D50,Masters!$A$5:$E$16,2,FALSE()),"")</f>
        <v>Delhi</v>
      </c>
      <c r="F50" s="34" t="str">
        <f>IFERROR(VLOOKUP(D50,Masters!$A$5:$E$16,3,FALSE()),"")</f>
        <v>Mumbai</v>
      </c>
      <c r="G50" s="35">
        <v>1880</v>
      </c>
      <c r="H50" s="36">
        <f>IFERROR(INDEX(Masters!$D$5:$D$16,MATCH(D50,Masters!$A$5:$A$16,0)),"")</f>
        <v>9.5</v>
      </c>
      <c r="I50" s="37">
        <f t="shared" si="0"/>
        <v>17860</v>
      </c>
      <c r="J50" s="33" t="s">
        <v>144</v>
      </c>
      <c r="K50" s="38">
        <f>IF(OR(B50="",D50=""),"",IFERROR(B50+VLOOKUP(D50,Masters!$A$5:$E$16,5,FALSE()),""))</f>
        <v>46160</v>
      </c>
      <c r="L50" s="13">
        <v>46159</v>
      </c>
      <c r="M50" s="33" t="s">
        <v>104</v>
      </c>
      <c r="N50" s="34">
        <f t="shared" si="1"/>
        <v>0</v>
      </c>
      <c r="O50" s="34" t="str">
        <f t="shared" si="2"/>
        <v>Yes</v>
      </c>
      <c r="P50" s="39">
        <f t="shared" si="3"/>
        <v>46143</v>
      </c>
      <c r="Q50" s="34" t="str">
        <f t="shared" si="4"/>
        <v>OK</v>
      </c>
    </row>
    <row r="51" spans="1:17" x14ac:dyDescent="0.3">
      <c r="A51" s="33" t="s">
        <v>201</v>
      </c>
      <c r="B51" s="13">
        <v>46155</v>
      </c>
      <c r="C51" s="33" t="s">
        <v>127</v>
      </c>
      <c r="D51" s="33" t="s">
        <v>154</v>
      </c>
      <c r="E51" s="34" t="str">
        <f>IFERROR(VLOOKUP(D51,Masters!$A$5:$E$16,2,FALSE()),"")</f>
        <v>Delhi</v>
      </c>
      <c r="F51" s="34" t="str">
        <f>IFERROR(VLOOKUP(D51,Masters!$A$5:$E$16,3,FALSE()),"")</f>
        <v>Bhopal</v>
      </c>
      <c r="G51" s="35">
        <v>7840</v>
      </c>
      <c r="H51" s="36">
        <f>IFERROR(INDEX(Masters!$D$5:$D$16,MATCH(D51,Masters!$A$5:$A$16,0)),"")</f>
        <v>8</v>
      </c>
      <c r="I51" s="37">
        <f t="shared" si="0"/>
        <v>62720</v>
      </c>
      <c r="J51" s="33" t="s">
        <v>136</v>
      </c>
      <c r="K51" s="38">
        <f>IF(OR(B51="",D51=""),"",IFERROR(B51+VLOOKUP(D51,Masters!$A$5:$E$16,5,FALSE()),""))</f>
        <v>46160</v>
      </c>
      <c r="L51" s="13">
        <v>46160</v>
      </c>
      <c r="M51" s="33" t="s">
        <v>104</v>
      </c>
      <c r="N51" s="34">
        <f t="shared" si="1"/>
        <v>0</v>
      </c>
      <c r="O51" s="34" t="str">
        <f t="shared" si="2"/>
        <v>Yes</v>
      </c>
      <c r="P51" s="39">
        <f t="shared" si="3"/>
        <v>46143</v>
      </c>
      <c r="Q51" s="34" t="str">
        <f t="shared" si="4"/>
        <v>OK</v>
      </c>
    </row>
    <row r="52" spans="1:17" x14ac:dyDescent="0.3">
      <c r="A52" s="33" t="s">
        <v>202</v>
      </c>
      <c r="B52" s="13">
        <v>46155</v>
      </c>
      <c r="C52" s="33" t="s">
        <v>131</v>
      </c>
      <c r="D52" s="33" t="s">
        <v>128</v>
      </c>
      <c r="E52" s="34" t="str">
        <f>IFERROR(VLOOKUP(D52,Masters!$A$5:$E$16,2,FALSE()),"")</f>
        <v>Ghaziabad</v>
      </c>
      <c r="F52" s="34" t="str">
        <f>IFERROR(VLOOKUP(D52,Masters!$A$5:$E$16,3,FALSE()),"")</f>
        <v>Meerut</v>
      </c>
      <c r="G52" s="35">
        <v>6160</v>
      </c>
      <c r="H52" s="36">
        <f>IFERROR(INDEX(Masters!$D$5:$D$16,MATCH(D52,Masters!$A$5:$A$16,0)),"")</f>
        <v>1.8</v>
      </c>
      <c r="I52" s="37">
        <f t="shared" si="0"/>
        <v>11088</v>
      </c>
      <c r="J52" s="33" t="s">
        <v>136</v>
      </c>
      <c r="K52" s="38">
        <f>IF(OR(B52="",D52=""),"",IFERROR(B52+VLOOKUP(D52,Masters!$A$5:$E$16,5,FALSE()),""))</f>
        <v>46156</v>
      </c>
      <c r="L52" s="13">
        <v>46156</v>
      </c>
      <c r="M52" s="33" t="s">
        <v>104</v>
      </c>
      <c r="N52" s="34">
        <f t="shared" si="1"/>
        <v>0</v>
      </c>
      <c r="O52" s="34" t="str">
        <f t="shared" si="2"/>
        <v>Yes</v>
      </c>
      <c r="P52" s="39">
        <f t="shared" si="3"/>
        <v>46143</v>
      </c>
      <c r="Q52" s="34" t="str">
        <f t="shared" si="4"/>
        <v>OK</v>
      </c>
    </row>
    <row r="53" spans="1:17" x14ac:dyDescent="0.3">
      <c r="A53" s="33" t="s">
        <v>203</v>
      </c>
      <c r="B53" s="13">
        <v>46155</v>
      </c>
      <c r="C53" s="33" t="s">
        <v>127</v>
      </c>
      <c r="D53" s="33" t="s">
        <v>132</v>
      </c>
      <c r="E53" s="34" t="str">
        <f>IFERROR(VLOOKUP(D53,Masters!$A$5:$E$16,2,FALSE()),"")</f>
        <v>Delhi</v>
      </c>
      <c r="F53" s="34" t="str">
        <f>IFERROR(VLOOKUP(D53,Masters!$A$5:$E$16,3,FALSE()),"")</f>
        <v>Ahmedabad</v>
      </c>
      <c r="G53" s="35">
        <v>8060</v>
      </c>
      <c r="H53" s="36">
        <f>IFERROR(INDEX(Masters!$D$5:$D$16,MATCH(D53,Masters!$A$5:$A$16,0)),"")</f>
        <v>7.5</v>
      </c>
      <c r="I53" s="37">
        <f t="shared" si="0"/>
        <v>60450</v>
      </c>
      <c r="J53" s="33" t="s">
        <v>136</v>
      </c>
      <c r="K53" s="38">
        <f>IF(OR(B53="",D53=""),"",IFERROR(B53+VLOOKUP(D53,Masters!$A$5:$E$16,5,FALSE()),""))</f>
        <v>46159</v>
      </c>
      <c r="L53" s="13">
        <v>46153</v>
      </c>
      <c r="M53" s="33" t="s">
        <v>104</v>
      </c>
      <c r="N53" s="34">
        <f t="shared" si="1"/>
        <v>0</v>
      </c>
      <c r="O53" s="34" t="str">
        <f t="shared" si="2"/>
        <v>Yes</v>
      </c>
      <c r="P53" s="39">
        <f t="shared" si="3"/>
        <v>46143</v>
      </c>
      <c r="Q53" s="34" t="str">
        <f t="shared" si="4"/>
        <v>Delivery Before Ship Date</v>
      </c>
    </row>
    <row r="54" spans="1:17" x14ac:dyDescent="0.3">
      <c r="A54" s="33" t="s">
        <v>204</v>
      </c>
      <c r="B54" s="13">
        <v>46156</v>
      </c>
      <c r="C54" s="33" t="s">
        <v>142</v>
      </c>
      <c r="D54" s="33" t="s">
        <v>154</v>
      </c>
      <c r="E54" s="34" t="str">
        <f>IFERROR(VLOOKUP(D54,Masters!$A$5:$E$16,2,FALSE()),"")</f>
        <v>Delhi</v>
      </c>
      <c r="F54" s="34" t="str">
        <f>IFERROR(VLOOKUP(D54,Masters!$A$5:$E$16,3,FALSE()),"")</f>
        <v>Bhopal</v>
      </c>
      <c r="G54" s="35">
        <v>6260</v>
      </c>
      <c r="H54" s="36">
        <f>IFERROR(INDEX(Masters!$D$5:$D$16,MATCH(D54,Masters!$A$5:$A$16,0)),"")</f>
        <v>8</v>
      </c>
      <c r="I54" s="37">
        <f t="shared" si="0"/>
        <v>50080</v>
      </c>
      <c r="J54" s="33" t="s">
        <v>136</v>
      </c>
      <c r="K54" s="38">
        <f>IF(OR(B54="",D54=""),"",IFERROR(B54+VLOOKUP(D54,Masters!$A$5:$E$16,5,FALSE()),""))</f>
        <v>46161</v>
      </c>
      <c r="L54" s="13">
        <v>46160</v>
      </c>
      <c r="M54" s="33" t="s">
        <v>104</v>
      </c>
      <c r="N54" s="34">
        <f t="shared" si="1"/>
        <v>0</v>
      </c>
      <c r="O54" s="34" t="str">
        <f t="shared" si="2"/>
        <v>Yes</v>
      </c>
      <c r="P54" s="39">
        <f t="shared" si="3"/>
        <v>46143</v>
      </c>
      <c r="Q54" s="34" t="str">
        <f t="shared" si="4"/>
        <v>OK</v>
      </c>
    </row>
    <row r="55" spans="1:17" x14ac:dyDescent="0.3">
      <c r="A55" s="33" t="s">
        <v>205</v>
      </c>
      <c r="B55" s="13">
        <v>46157</v>
      </c>
      <c r="C55" s="33" t="s">
        <v>167</v>
      </c>
      <c r="D55" s="33" t="s">
        <v>159</v>
      </c>
      <c r="E55" s="34" t="str">
        <f>IFERROR(VLOOKUP(D55,Masters!$A$5:$E$16,2,FALSE()),"")</f>
        <v>Delhi</v>
      </c>
      <c r="F55" s="34" t="str">
        <f>IFERROR(VLOOKUP(D55,Masters!$A$5:$E$16,3,FALSE()),"")</f>
        <v>Jaipur</v>
      </c>
      <c r="G55" s="35">
        <v>3100</v>
      </c>
      <c r="H55" s="36">
        <f>IFERROR(INDEX(Masters!$D$5:$D$16,MATCH(D55,Masters!$A$5:$A$16,0)),"")</f>
        <v>3.5</v>
      </c>
      <c r="I55" s="37">
        <f t="shared" si="0"/>
        <v>10850</v>
      </c>
      <c r="J55" s="33" t="s">
        <v>129</v>
      </c>
      <c r="K55" s="38">
        <f>IF(OR(B55="",D55=""),"",IFERROR(B55+VLOOKUP(D55,Masters!$A$5:$E$16,5,FALSE()),""))</f>
        <v>46159</v>
      </c>
      <c r="L55" s="13">
        <v>46160</v>
      </c>
      <c r="M55" s="33" t="s">
        <v>104</v>
      </c>
      <c r="N55" s="34">
        <f t="shared" si="1"/>
        <v>1</v>
      </c>
      <c r="O55" s="34" t="str">
        <f t="shared" si="2"/>
        <v>No</v>
      </c>
      <c r="P55" s="39">
        <f t="shared" si="3"/>
        <v>46143</v>
      </c>
      <c r="Q55" s="34" t="str">
        <f t="shared" si="4"/>
        <v>OK</v>
      </c>
    </row>
    <row r="56" spans="1:17" x14ac:dyDescent="0.3">
      <c r="A56" s="33" t="s">
        <v>206</v>
      </c>
      <c r="B56" s="13">
        <v>46158</v>
      </c>
      <c r="C56" s="33" t="s">
        <v>167</v>
      </c>
      <c r="D56" s="33" t="s">
        <v>159</v>
      </c>
      <c r="E56" s="34" t="str">
        <f>IFERROR(VLOOKUP(D56,Masters!$A$5:$E$16,2,FALSE()),"")</f>
        <v>Delhi</v>
      </c>
      <c r="F56" s="34" t="str">
        <f>IFERROR(VLOOKUP(D56,Masters!$A$5:$E$16,3,FALSE()),"")</f>
        <v>Jaipur</v>
      </c>
      <c r="G56" s="35">
        <v>9650</v>
      </c>
      <c r="H56" s="36">
        <f>IFERROR(INDEX(Masters!$D$5:$D$16,MATCH(D56,Masters!$A$5:$A$16,0)),"")</f>
        <v>3.5</v>
      </c>
      <c r="I56" s="37">
        <f t="shared" si="0"/>
        <v>33775</v>
      </c>
      <c r="J56" s="33" t="s">
        <v>157</v>
      </c>
      <c r="K56" s="38">
        <f>IF(OR(B56="",D56=""),"",IFERROR(B56+VLOOKUP(D56,Masters!$A$5:$E$16,5,FALSE()),""))</f>
        <v>46160</v>
      </c>
      <c r="L56" s="13">
        <v>46162</v>
      </c>
      <c r="M56" s="33" t="s">
        <v>104</v>
      </c>
      <c r="N56" s="34">
        <f t="shared" si="1"/>
        <v>2</v>
      </c>
      <c r="O56" s="34" t="str">
        <f t="shared" si="2"/>
        <v>No</v>
      </c>
      <c r="P56" s="39">
        <f t="shared" si="3"/>
        <v>46143</v>
      </c>
      <c r="Q56" s="34" t="str">
        <f t="shared" si="4"/>
        <v>OK</v>
      </c>
    </row>
    <row r="57" spans="1:17" x14ac:dyDescent="0.3">
      <c r="A57" s="33" t="s">
        <v>207</v>
      </c>
      <c r="B57" s="13">
        <v>46158</v>
      </c>
      <c r="C57" s="33" t="s">
        <v>142</v>
      </c>
      <c r="D57" s="33" t="s">
        <v>154</v>
      </c>
      <c r="E57" s="34" t="str">
        <f>IFERROR(VLOOKUP(D57,Masters!$A$5:$E$16,2,FALSE()),"")</f>
        <v>Delhi</v>
      </c>
      <c r="F57" s="34" t="str">
        <f>IFERROR(VLOOKUP(D57,Masters!$A$5:$E$16,3,FALSE()),"")</f>
        <v>Bhopal</v>
      </c>
      <c r="G57" s="35">
        <v>3930</v>
      </c>
      <c r="H57" s="36">
        <f>IFERROR(INDEX(Masters!$D$5:$D$16,MATCH(D57,Masters!$A$5:$A$16,0)),"")</f>
        <v>8</v>
      </c>
      <c r="I57" s="37">
        <f t="shared" si="0"/>
        <v>31440</v>
      </c>
      <c r="J57" s="33" t="s">
        <v>129</v>
      </c>
      <c r="K57" s="38">
        <f>IF(OR(B57="",D57=""),"",IFERROR(B57+VLOOKUP(D57,Masters!$A$5:$E$16,5,FALSE()),""))</f>
        <v>46163</v>
      </c>
      <c r="L57" s="13">
        <v>46165</v>
      </c>
      <c r="M57" s="33" t="s">
        <v>104</v>
      </c>
      <c r="N57" s="34">
        <f t="shared" si="1"/>
        <v>2</v>
      </c>
      <c r="O57" s="34" t="str">
        <f t="shared" si="2"/>
        <v>No</v>
      </c>
      <c r="P57" s="39">
        <f t="shared" si="3"/>
        <v>46143</v>
      </c>
      <c r="Q57" s="34" t="str">
        <f t="shared" si="4"/>
        <v>OK</v>
      </c>
    </row>
    <row r="58" spans="1:17" x14ac:dyDescent="0.3">
      <c r="A58" s="33" t="s">
        <v>208</v>
      </c>
      <c r="B58" s="13">
        <v>46159</v>
      </c>
      <c r="C58" s="33" t="s">
        <v>142</v>
      </c>
      <c r="D58" s="33" t="s">
        <v>138</v>
      </c>
      <c r="E58" s="34" t="str">
        <f>IFERROR(VLOOKUP(D58,Masters!$A$5:$E$16,2,FALSE()),"")</f>
        <v>Delhi</v>
      </c>
      <c r="F58" s="34" t="str">
        <f>IFERROR(VLOOKUP(D58,Masters!$A$5:$E$16,3,FALSE()),"")</f>
        <v>Kolkata</v>
      </c>
      <c r="G58" s="35">
        <v>5890</v>
      </c>
      <c r="H58" s="36">
        <f>IFERROR(INDEX(Masters!$D$5:$D$16,MATCH(D58,Masters!$A$5:$A$16,0)),"")</f>
        <v>12</v>
      </c>
      <c r="I58" s="37">
        <f t="shared" si="0"/>
        <v>70680</v>
      </c>
      <c r="J58" s="33" t="s">
        <v>136</v>
      </c>
      <c r="K58" s="38">
        <f>IF(OR(B58="",D58=""),"",IFERROR(B58+VLOOKUP(D58,Masters!$A$5:$E$16,5,FALSE()),""))</f>
        <v>46166</v>
      </c>
      <c r="L58" s="13">
        <v>46169</v>
      </c>
      <c r="M58" s="33" t="s">
        <v>104</v>
      </c>
      <c r="N58" s="34">
        <f t="shared" si="1"/>
        <v>3</v>
      </c>
      <c r="O58" s="34" t="str">
        <f t="shared" si="2"/>
        <v>No</v>
      </c>
      <c r="P58" s="39">
        <f t="shared" si="3"/>
        <v>46143</v>
      </c>
      <c r="Q58" s="34" t="str">
        <f t="shared" si="4"/>
        <v>OK</v>
      </c>
    </row>
    <row r="59" spans="1:17" x14ac:dyDescent="0.3">
      <c r="A59" s="33" t="s">
        <v>209</v>
      </c>
      <c r="B59" s="13">
        <v>46159</v>
      </c>
      <c r="C59" s="33" t="s">
        <v>146</v>
      </c>
      <c r="D59" s="33" t="s">
        <v>128</v>
      </c>
      <c r="E59" s="34" t="str">
        <f>IFERROR(VLOOKUP(D59,Masters!$A$5:$E$16,2,FALSE()),"")</f>
        <v>Ghaziabad</v>
      </c>
      <c r="F59" s="34" t="str">
        <f>IFERROR(VLOOKUP(D59,Masters!$A$5:$E$16,3,FALSE()),"")</f>
        <v>Meerut</v>
      </c>
      <c r="G59" s="35">
        <v>9270</v>
      </c>
      <c r="H59" s="36">
        <f>IFERROR(INDEX(Masters!$D$5:$D$16,MATCH(D59,Masters!$A$5:$A$16,0)),"")</f>
        <v>1.8</v>
      </c>
      <c r="I59" s="37">
        <f t="shared" si="0"/>
        <v>16686</v>
      </c>
      <c r="J59" s="33" t="s">
        <v>157</v>
      </c>
      <c r="K59" s="38">
        <f>IF(OR(B59="",D59=""),"",IFERROR(B59+VLOOKUP(D59,Masters!$A$5:$E$16,5,FALSE()),""))</f>
        <v>46160</v>
      </c>
      <c r="L59" s="13">
        <v>46159</v>
      </c>
      <c r="M59" s="33" t="s">
        <v>104</v>
      </c>
      <c r="N59" s="34">
        <f t="shared" si="1"/>
        <v>0</v>
      </c>
      <c r="O59" s="34" t="str">
        <f t="shared" si="2"/>
        <v>Yes</v>
      </c>
      <c r="P59" s="39">
        <f t="shared" si="3"/>
        <v>46143</v>
      </c>
      <c r="Q59" s="34" t="str">
        <f t="shared" si="4"/>
        <v>OK</v>
      </c>
    </row>
    <row r="60" spans="1:17" x14ac:dyDescent="0.3">
      <c r="A60" s="33" t="s">
        <v>210</v>
      </c>
      <c r="B60" s="13">
        <v>46160</v>
      </c>
      <c r="C60" s="33" t="s">
        <v>127</v>
      </c>
      <c r="D60" s="33" t="s">
        <v>140</v>
      </c>
      <c r="E60" s="34" t="str">
        <f>IFERROR(VLOOKUP(D60,Masters!$A$5:$E$16,2,FALSE()),"")</f>
        <v>Delhi</v>
      </c>
      <c r="F60" s="34" t="str">
        <f>IFERROR(VLOOKUP(D60,Masters!$A$5:$E$16,3,FALSE()),"")</f>
        <v>Mumbai</v>
      </c>
      <c r="G60" s="35">
        <v>1570</v>
      </c>
      <c r="H60" s="36">
        <f>IFERROR(INDEX(Masters!$D$5:$D$16,MATCH(D60,Masters!$A$5:$A$16,0)),"")</f>
        <v>9.5</v>
      </c>
      <c r="I60" s="37">
        <f t="shared" si="0"/>
        <v>14915</v>
      </c>
      <c r="J60" s="33" t="s">
        <v>144</v>
      </c>
      <c r="K60" s="38">
        <f>IF(OR(B60="",D60=""),"",IFERROR(B60+VLOOKUP(D60,Masters!$A$5:$E$16,5,FALSE()),""))</f>
        <v>46166</v>
      </c>
      <c r="L60" s="13">
        <v>46168</v>
      </c>
      <c r="M60" s="33" t="s">
        <v>104</v>
      </c>
      <c r="N60" s="34">
        <f t="shared" si="1"/>
        <v>2</v>
      </c>
      <c r="O60" s="34" t="str">
        <f t="shared" si="2"/>
        <v>No</v>
      </c>
      <c r="P60" s="39">
        <f t="shared" si="3"/>
        <v>46143</v>
      </c>
      <c r="Q60" s="34" t="str">
        <f t="shared" si="4"/>
        <v>OK</v>
      </c>
    </row>
    <row r="61" spans="1:17" x14ac:dyDescent="0.3">
      <c r="A61" s="33" t="s">
        <v>211</v>
      </c>
      <c r="B61" s="13">
        <v>46160</v>
      </c>
      <c r="C61" s="33" t="s">
        <v>131</v>
      </c>
      <c r="D61" s="33" t="s">
        <v>135</v>
      </c>
      <c r="E61" s="34" t="str">
        <f>IFERROR(VLOOKUP(D61,Masters!$A$5:$E$16,2,FALSE()),"")</f>
        <v>Delhi</v>
      </c>
      <c r="F61" s="34" t="str">
        <f>IFERROR(VLOOKUP(D61,Masters!$A$5:$E$16,3,FALSE()),"")</f>
        <v>Lucknow</v>
      </c>
      <c r="G61" s="35">
        <v>2040</v>
      </c>
      <c r="H61" s="36">
        <f>IFERROR(INDEX(Masters!$D$5:$D$16,MATCH(D61,Masters!$A$5:$A$16,0)),"")</f>
        <v>5.2</v>
      </c>
      <c r="I61" s="37">
        <f t="shared" si="0"/>
        <v>10608</v>
      </c>
      <c r="J61" s="33" t="s">
        <v>144</v>
      </c>
      <c r="K61" s="38">
        <f>IF(OR(B61="",D61=""),"",IFERROR(B61+VLOOKUP(D61,Masters!$A$5:$E$16,5,FALSE()),""))</f>
        <v>46163</v>
      </c>
      <c r="L61" s="13">
        <v>46163</v>
      </c>
      <c r="M61" s="33" t="s">
        <v>104</v>
      </c>
      <c r="N61" s="34">
        <f t="shared" si="1"/>
        <v>0</v>
      </c>
      <c r="O61" s="34" t="str">
        <f t="shared" si="2"/>
        <v>Yes</v>
      </c>
      <c r="P61" s="39">
        <f t="shared" si="3"/>
        <v>46143</v>
      </c>
      <c r="Q61" s="34" t="str">
        <f t="shared" si="4"/>
        <v>OK</v>
      </c>
    </row>
    <row r="62" spans="1:17" x14ac:dyDescent="0.3">
      <c r="A62" s="33" t="s">
        <v>212</v>
      </c>
      <c r="B62" s="13">
        <v>46160</v>
      </c>
      <c r="C62" s="33" t="s">
        <v>131</v>
      </c>
      <c r="D62" s="33" t="s">
        <v>132</v>
      </c>
      <c r="E62" s="34" t="str">
        <f>IFERROR(VLOOKUP(D62,Masters!$A$5:$E$16,2,FALSE()),"")</f>
        <v>Delhi</v>
      </c>
      <c r="F62" s="34" t="str">
        <f>IFERROR(VLOOKUP(D62,Masters!$A$5:$E$16,3,FALSE()),"")</f>
        <v>Ahmedabad</v>
      </c>
      <c r="G62" s="35">
        <v>8190</v>
      </c>
      <c r="H62" s="36">
        <f>IFERROR(INDEX(Masters!$D$5:$D$16,MATCH(D62,Masters!$A$5:$A$16,0)),"")</f>
        <v>7.5</v>
      </c>
      <c r="I62" s="37">
        <f t="shared" si="0"/>
        <v>61425</v>
      </c>
      <c r="J62" s="33" t="s">
        <v>136</v>
      </c>
      <c r="K62" s="38">
        <f>IF(OR(B62="",D62=""),"",IFERROR(B62+VLOOKUP(D62,Masters!$A$5:$E$16,5,FALSE()),""))</f>
        <v>46164</v>
      </c>
      <c r="L62" s="13">
        <v>46165</v>
      </c>
      <c r="M62" s="33" t="s">
        <v>104</v>
      </c>
      <c r="N62" s="34">
        <f t="shared" si="1"/>
        <v>1</v>
      </c>
      <c r="O62" s="34" t="str">
        <f t="shared" si="2"/>
        <v>No</v>
      </c>
      <c r="P62" s="39">
        <f t="shared" si="3"/>
        <v>46143</v>
      </c>
      <c r="Q62" s="34" t="str">
        <f t="shared" si="4"/>
        <v>OK</v>
      </c>
    </row>
    <row r="63" spans="1:17" x14ac:dyDescent="0.3">
      <c r="A63" s="33" t="s">
        <v>213</v>
      </c>
      <c r="B63" s="13">
        <v>46161</v>
      </c>
      <c r="C63" s="33" t="s">
        <v>180</v>
      </c>
      <c r="D63" s="33" t="s">
        <v>159</v>
      </c>
      <c r="E63" s="34" t="str">
        <f>IFERROR(VLOOKUP(D63,Masters!$A$5:$E$16,2,FALSE()),"")</f>
        <v>Delhi</v>
      </c>
      <c r="F63" s="34" t="str">
        <f>IFERROR(VLOOKUP(D63,Masters!$A$5:$E$16,3,FALSE()),"")</f>
        <v>Jaipur</v>
      </c>
      <c r="G63" s="35">
        <v>2680</v>
      </c>
      <c r="H63" s="36">
        <f>IFERROR(INDEX(Masters!$D$5:$D$16,MATCH(D63,Masters!$A$5:$A$16,0)),"")</f>
        <v>3.5</v>
      </c>
      <c r="I63" s="37">
        <f t="shared" si="0"/>
        <v>9380</v>
      </c>
      <c r="J63" s="33" t="s">
        <v>129</v>
      </c>
      <c r="K63" s="38">
        <f>IF(OR(B63="",D63=""),"",IFERROR(B63+VLOOKUP(D63,Masters!$A$5:$E$16,5,FALSE()),""))</f>
        <v>46163</v>
      </c>
      <c r="L63" s="13">
        <v>46165</v>
      </c>
      <c r="M63" s="33" t="s">
        <v>104</v>
      </c>
      <c r="N63" s="34">
        <f t="shared" si="1"/>
        <v>2</v>
      </c>
      <c r="O63" s="34" t="str">
        <f t="shared" si="2"/>
        <v>No</v>
      </c>
      <c r="P63" s="39">
        <f t="shared" si="3"/>
        <v>46143</v>
      </c>
      <c r="Q63" s="34" t="str">
        <f t="shared" si="4"/>
        <v>OK</v>
      </c>
    </row>
    <row r="64" spans="1:17" x14ac:dyDescent="0.3">
      <c r="A64" s="33" t="s">
        <v>214</v>
      </c>
      <c r="B64" s="13">
        <v>46162</v>
      </c>
      <c r="C64" s="33" t="s">
        <v>146</v>
      </c>
      <c r="D64" s="33" t="s">
        <v>152</v>
      </c>
      <c r="E64" s="34" t="str">
        <f>IFERROR(VLOOKUP(D64,Masters!$A$5:$E$16,2,FALSE()),"")</f>
        <v>Delhi</v>
      </c>
      <c r="F64" s="34" t="str">
        <f>IFERROR(VLOOKUP(D64,Masters!$A$5:$E$16,3,FALSE()),"")</f>
        <v>Dehradun</v>
      </c>
      <c r="G64" s="35">
        <v>4690</v>
      </c>
      <c r="H64" s="36">
        <f>IFERROR(INDEX(Masters!$D$5:$D$16,MATCH(D64,Masters!$A$5:$A$16,0)),"")</f>
        <v>4</v>
      </c>
      <c r="I64" s="37">
        <f t="shared" si="0"/>
        <v>18760</v>
      </c>
      <c r="J64" s="33" t="s">
        <v>129</v>
      </c>
      <c r="K64" s="38">
        <f>IF(OR(B64="",D64=""),"",IFERROR(B64+VLOOKUP(D64,Masters!$A$5:$E$16,5,FALSE()),""))</f>
        <v>46164</v>
      </c>
      <c r="L64" s="13"/>
      <c r="M64" s="33" t="s">
        <v>104</v>
      </c>
      <c r="N64" s="34" t="str">
        <f t="shared" si="1"/>
        <v/>
      </c>
      <c r="O64" s="34" t="str">
        <f t="shared" si="2"/>
        <v/>
      </c>
      <c r="P64" s="39">
        <f t="shared" si="3"/>
        <v>46143</v>
      </c>
      <c r="Q64" s="34" t="str">
        <f t="shared" si="4"/>
        <v>Delivered But No Date</v>
      </c>
    </row>
    <row r="65" spans="1:17" x14ac:dyDescent="0.3">
      <c r="A65" s="33" t="s">
        <v>215</v>
      </c>
      <c r="B65" s="13">
        <v>46166</v>
      </c>
      <c r="C65" s="33" t="s">
        <v>127</v>
      </c>
      <c r="D65" s="33" t="s">
        <v>128</v>
      </c>
      <c r="E65" s="34" t="str">
        <f>IFERROR(VLOOKUP(D65,Masters!$A$5:$E$16,2,FALSE()),"")</f>
        <v>Ghaziabad</v>
      </c>
      <c r="F65" s="34" t="str">
        <f>IFERROR(VLOOKUP(D65,Masters!$A$5:$E$16,3,FALSE()),"")</f>
        <v>Meerut</v>
      </c>
      <c r="G65" s="35">
        <v>8050</v>
      </c>
      <c r="H65" s="36">
        <f>IFERROR(INDEX(Masters!$D$5:$D$16,MATCH(D65,Masters!$A$5:$A$16,0)),"")</f>
        <v>1.8</v>
      </c>
      <c r="I65" s="37">
        <f t="shared" si="0"/>
        <v>14490</v>
      </c>
      <c r="J65" s="33" t="s">
        <v>136</v>
      </c>
      <c r="K65" s="38">
        <f>IF(OR(B65="",D65=""),"",IFERROR(B65+VLOOKUP(D65,Masters!$A$5:$E$16,5,FALSE()),""))</f>
        <v>46167</v>
      </c>
      <c r="L65" s="13">
        <v>46167</v>
      </c>
      <c r="M65" s="33" t="s">
        <v>104</v>
      </c>
      <c r="N65" s="34">
        <f t="shared" si="1"/>
        <v>0</v>
      </c>
      <c r="O65" s="34" t="str">
        <f t="shared" si="2"/>
        <v>Yes</v>
      </c>
      <c r="P65" s="39">
        <f t="shared" si="3"/>
        <v>46143</v>
      </c>
      <c r="Q65" s="34" t="str">
        <f t="shared" si="4"/>
        <v>OK</v>
      </c>
    </row>
    <row r="66" spans="1:17" x14ac:dyDescent="0.3">
      <c r="A66" s="33" t="s">
        <v>216</v>
      </c>
      <c r="B66" s="13">
        <v>46167</v>
      </c>
      <c r="C66" s="33" t="s">
        <v>156</v>
      </c>
      <c r="D66" s="33" t="s">
        <v>184</v>
      </c>
      <c r="E66" s="34" t="str">
        <f>IFERROR(VLOOKUP(D66,Masters!$A$5:$E$16,2,FALSE()),"")</f>
        <v>Delhi</v>
      </c>
      <c r="F66" s="34" t="str">
        <f>IFERROR(VLOOKUP(D66,Masters!$A$5:$E$16,3,FALSE()),"")</f>
        <v>Agra</v>
      </c>
      <c r="G66" s="35">
        <v>2690</v>
      </c>
      <c r="H66" s="36">
        <f>IFERROR(INDEX(Masters!$D$5:$D$16,MATCH(D66,Masters!$A$5:$A$16,0)),"")</f>
        <v>2.8</v>
      </c>
      <c r="I66" s="37">
        <f t="shared" ref="I66:I129" si="5">IF(OR(G66="",H66=""),"",G66*H66)</f>
        <v>7531.9999999999991</v>
      </c>
      <c r="J66" s="33" t="s">
        <v>129</v>
      </c>
      <c r="K66" s="38">
        <f>IF(OR(B66="",D66=""),"",IFERROR(B66+VLOOKUP(D66,Masters!$A$5:$E$16,5,FALSE()),""))</f>
        <v>46169</v>
      </c>
      <c r="L66" s="13">
        <v>46169</v>
      </c>
      <c r="M66" s="33" t="s">
        <v>104</v>
      </c>
      <c r="N66" s="34">
        <f t="shared" ref="N66:N129" si="6">IF(OR(L66="",K66=""),"",MAX(0,L66-K66))</f>
        <v>0</v>
      </c>
      <c r="O66" s="34" t="str">
        <f t="shared" ref="O66:O129" si="7">IF(M66="In Transit","Pending",IF(OR(L66="",K66=""),"",IF(L66&lt;=K66,"Yes","No")))</f>
        <v>Yes</v>
      </c>
      <c r="P66" s="39">
        <f t="shared" ref="P66:P129" si="8">IF(B66="","",DATE(YEAR(B66),MONTH(B66),1))</f>
        <v>46143</v>
      </c>
      <c r="Q66" s="34" t="str">
        <f t="shared" ref="Q66:Q129" si="9">IF(OR(A66="",B66="",C66="",D66="",G66=""),"Missing Field",IF(COUNTIF($A$2:$A$1000,A66)&gt;1,"Duplicate ID",IF(G66&lt;=0,"Invalid Weight",IF(AND(L66&lt;&gt;"",L66&lt;B66),"Delivery Before Ship Date",IF(AND(M66="Delivered",L66=""),"Delivered But No Date","OK")))))</f>
        <v>OK</v>
      </c>
    </row>
    <row r="67" spans="1:17" x14ac:dyDescent="0.3">
      <c r="A67" s="33" t="s">
        <v>217</v>
      </c>
      <c r="B67" s="13">
        <v>46167</v>
      </c>
      <c r="C67" s="33" t="s">
        <v>156</v>
      </c>
      <c r="D67" s="33" t="s">
        <v>161</v>
      </c>
      <c r="E67" s="34" t="str">
        <f>IFERROR(VLOOKUP(D67,Masters!$A$5:$E$16,2,FALSE()),"")</f>
        <v>Delhi</v>
      </c>
      <c r="F67" s="34" t="str">
        <f>IFERROR(VLOOKUP(D67,Masters!$A$5:$E$16,3,FALSE()),"")</f>
        <v>Chandigarh</v>
      </c>
      <c r="G67" s="35">
        <v>2820</v>
      </c>
      <c r="H67" s="36">
        <f>IFERROR(INDEX(Masters!$D$5:$D$16,MATCH(D67,Masters!$A$5:$A$16,0)),"")</f>
        <v>3</v>
      </c>
      <c r="I67" s="37">
        <f t="shared" si="5"/>
        <v>8460</v>
      </c>
      <c r="J67" s="33" t="s">
        <v>129</v>
      </c>
      <c r="K67" s="38">
        <f>IF(OR(B67="",D67=""),"",IFERROR(B67+VLOOKUP(D67,Masters!$A$5:$E$16,5,FALSE()),""))</f>
        <v>46169</v>
      </c>
      <c r="L67" s="13">
        <v>46165</v>
      </c>
      <c r="M67" s="33" t="s">
        <v>104</v>
      </c>
      <c r="N67" s="34">
        <f t="shared" si="6"/>
        <v>0</v>
      </c>
      <c r="O67" s="34" t="str">
        <f t="shared" si="7"/>
        <v>Yes</v>
      </c>
      <c r="P67" s="39">
        <f t="shared" si="8"/>
        <v>46143</v>
      </c>
      <c r="Q67" s="34" t="str">
        <f t="shared" si="9"/>
        <v>Delivery Before Ship Date</v>
      </c>
    </row>
    <row r="68" spans="1:17" x14ac:dyDescent="0.3">
      <c r="A68" s="33" t="s">
        <v>218</v>
      </c>
      <c r="B68" s="13">
        <v>46167</v>
      </c>
      <c r="C68" s="33" t="s">
        <v>180</v>
      </c>
      <c r="D68" s="33" t="s">
        <v>184</v>
      </c>
      <c r="E68" s="34" t="str">
        <f>IFERROR(VLOOKUP(D68,Masters!$A$5:$E$16,2,FALSE()),"")</f>
        <v>Delhi</v>
      </c>
      <c r="F68" s="34" t="str">
        <f>IFERROR(VLOOKUP(D68,Masters!$A$5:$E$16,3,FALSE()),"")</f>
        <v>Agra</v>
      </c>
      <c r="G68" s="35">
        <v>10000</v>
      </c>
      <c r="H68" s="36">
        <f>IFERROR(INDEX(Masters!$D$5:$D$16,MATCH(D68,Masters!$A$5:$A$16,0)),"")</f>
        <v>2.8</v>
      </c>
      <c r="I68" s="37">
        <f t="shared" si="5"/>
        <v>28000</v>
      </c>
      <c r="J68" s="33" t="s">
        <v>157</v>
      </c>
      <c r="K68" s="38">
        <f>IF(OR(B68="",D68=""),"",IFERROR(B68+VLOOKUP(D68,Masters!$A$5:$E$16,5,FALSE()),""))</f>
        <v>46169</v>
      </c>
      <c r="L68" s="13">
        <v>46169</v>
      </c>
      <c r="M68" s="33" t="s">
        <v>104</v>
      </c>
      <c r="N68" s="34">
        <f t="shared" si="6"/>
        <v>0</v>
      </c>
      <c r="O68" s="34" t="str">
        <f t="shared" si="7"/>
        <v>Yes</v>
      </c>
      <c r="P68" s="39">
        <f t="shared" si="8"/>
        <v>46143</v>
      </c>
      <c r="Q68" s="34" t="str">
        <f t="shared" si="9"/>
        <v>OK</v>
      </c>
    </row>
    <row r="69" spans="1:17" x14ac:dyDescent="0.3">
      <c r="A69" s="33" t="s">
        <v>219</v>
      </c>
      <c r="B69" s="13">
        <v>46168</v>
      </c>
      <c r="C69" s="33" t="s">
        <v>146</v>
      </c>
      <c r="D69" s="33" t="s">
        <v>220</v>
      </c>
      <c r="E69" s="34" t="str">
        <f>IFERROR(VLOOKUP(D69,Masters!$A$5:$E$16,2,FALSE()),"")</f>
        <v>Delhi</v>
      </c>
      <c r="F69" s="34" t="str">
        <f>IFERROR(VLOOKUP(D69,Masters!$A$5:$E$16,3,FALSE()),"")</f>
        <v>Indore</v>
      </c>
      <c r="G69" s="35">
        <v>4440</v>
      </c>
      <c r="H69" s="36">
        <f>IFERROR(INDEX(Masters!$D$5:$D$16,MATCH(D69,Masters!$A$5:$A$16,0)),"")</f>
        <v>9</v>
      </c>
      <c r="I69" s="37">
        <f t="shared" si="5"/>
        <v>39960</v>
      </c>
      <c r="J69" s="33" t="s">
        <v>129</v>
      </c>
      <c r="K69" s="38">
        <f>IF(OR(B69="",D69=""),"",IFERROR(B69+VLOOKUP(D69,Masters!$A$5:$E$16,5,FALSE()),""))</f>
        <v>46173</v>
      </c>
      <c r="L69" s="13">
        <v>46175</v>
      </c>
      <c r="M69" s="33" t="s">
        <v>104</v>
      </c>
      <c r="N69" s="34">
        <f t="shared" si="6"/>
        <v>2</v>
      </c>
      <c r="O69" s="34" t="str">
        <f t="shared" si="7"/>
        <v>No</v>
      </c>
      <c r="P69" s="39">
        <f t="shared" si="8"/>
        <v>46143</v>
      </c>
      <c r="Q69" s="34" t="str">
        <f t="shared" si="9"/>
        <v>OK</v>
      </c>
    </row>
    <row r="70" spans="1:17" x14ac:dyDescent="0.3">
      <c r="A70" s="33" t="s">
        <v>221</v>
      </c>
      <c r="B70" s="13">
        <v>46168</v>
      </c>
      <c r="C70" s="33" t="s">
        <v>149</v>
      </c>
      <c r="D70" s="33" t="s">
        <v>220</v>
      </c>
      <c r="E70" s="34" t="str">
        <f>IFERROR(VLOOKUP(D70,Masters!$A$5:$E$16,2,FALSE()),"")</f>
        <v>Delhi</v>
      </c>
      <c r="F70" s="34" t="str">
        <f>IFERROR(VLOOKUP(D70,Masters!$A$5:$E$16,3,FALSE()),"")</f>
        <v>Indore</v>
      </c>
      <c r="G70" s="35">
        <v>3140</v>
      </c>
      <c r="H70" s="36">
        <f>IFERROR(INDEX(Masters!$D$5:$D$16,MATCH(D70,Masters!$A$5:$A$16,0)),"")</f>
        <v>9</v>
      </c>
      <c r="I70" s="37">
        <f t="shared" si="5"/>
        <v>28260</v>
      </c>
      <c r="J70" s="33" t="s">
        <v>129</v>
      </c>
      <c r="K70" s="38">
        <f>IF(OR(B70="",D70=""),"",IFERROR(B70+VLOOKUP(D70,Masters!$A$5:$E$16,5,FALSE()),""))</f>
        <v>46173</v>
      </c>
      <c r="L70" s="13">
        <v>46178</v>
      </c>
      <c r="M70" s="33" t="s">
        <v>104</v>
      </c>
      <c r="N70" s="34">
        <f t="shared" si="6"/>
        <v>5</v>
      </c>
      <c r="O70" s="34" t="str">
        <f t="shared" si="7"/>
        <v>No</v>
      </c>
      <c r="P70" s="39">
        <f t="shared" si="8"/>
        <v>46143</v>
      </c>
      <c r="Q70" s="34" t="str">
        <f t="shared" si="9"/>
        <v>OK</v>
      </c>
    </row>
    <row r="71" spans="1:17" x14ac:dyDescent="0.3">
      <c r="A71" s="33" t="s">
        <v>222</v>
      </c>
      <c r="B71" s="13">
        <v>46168</v>
      </c>
      <c r="C71" s="33" t="s">
        <v>127</v>
      </c>
      <c r="D71" s="33" t="s">
        <v>143</v>
      </c>
      <c r="E71" s="34" t="str">
        <f>IFERROR(VLOOKUP(D71,Masters!$A$5:$E$16,2,FALSE()),"")</f>
        <v>Delhi</v>
      </c>
      <c r="F71" s="34" t="str">
        <f>IFERROR(VLOOKUP(D71,Masters!$A$5:$E$16,3,FALSE()),"")</f>
        <v>Kanpur</v>
      </c>
      <c r="G71" s="35">
        <v>3670</v>
      </c>
      <c r="H71" s="36">
        <f>IFERROR(INDEX(Masters!$D$5:$D$16,MATCH(D71,Masters!$A$5:$A$16,0)),"")</f>
        <v>4.5</v>
      </c>
      <c r="I71" s="37">
        <f t="shared" si="5"/>
        <v>16515</v>
      </c>
      <c r="J71" s="33" t="s">
        <v>129</v>
      </c>
      <c r="K71" s="38">
        <f>IF(OR(B71="",D71=""),"",IFERROR(B71+VLOOKUP(D71,Masters!$A$5:$E$16,5,FALSE()),""))</f>
        <v>46171</v>
      </c>
      <c r="L71" s="13">
        <v>46171</v>
      </c>
      <c r="M71" s="33" t="s">
        <v>104</v>
      </c>
      <c r="N71" s="34">
        <f t="shared" si="6"/>
        <v>0</v>
      </c>
      <c r="O71" s="34" t="str">
        <f t="shared" si="7"/>
        <v>Yes</v>
      </c>
      <c r="P71" s="39">
        <f t="shared" si="8"/>
        <v>46143</v>
      </c>
      <c r="Q71" s="34" t="str">
        <f t="shared" si="9"/>
        <v>OK</v>
      </c>
    </row>
    <row r="72" spans="1:17" x14ac:dyDescent="0.3">
      <c r="A72" s="33" t="s">
        <v>223</v>
      </c>
      <c r="B72" s="13">
        <v>46168</v>
      </c>
      <c r="C72" s="33" t="s">
        <v>146</v>
      </c>
      <c r="D72" s="33" t="s">
        <v>132</v>
      </c>
      <c r="E72" s="34" t="str">
        <f>IFERROR(VLOOKUP(D72,Masters!$A$5:$E$16,2,FALSE()),"")</f>
        <v>Delhi</v>
      </c>
      <c r="F72" s="34" t="str">
        <f>IFERROR(VLOOKUP(D72,Masters!$A$5:$E$16,3,FALSE()),"")</f>
        <v>Ahmedabad</v>
      </c>
      <c r="G72" s="35">
        <v>1300</v>
      </c>
      <c r="H72" s="36">
        <f>IFERROR(INDEX(Masters!$D$5:$D$16,MATCH(D72,Masters!$A$5:$A$16,0)),"")</f>
        <v>7.5</v>
      </c>
      <c r="I72" s="37">
        <f t="shared" si="5"/>
        <v>9750</v>
      </c>
      <c r="J72" s="33" t="s">
        <v>144</v>
      </c>
      <c r="K72" s="38">
        <f>IF(OR(B72="",D72=""),"",IFERROR(B72+VLOOKUP(D72,Masters!$A$5:$E$16,5,FALSE()),""))</f>
        <v>46172</v>
      </c>
      <c r="L72" s="13">
        <v>46172</v>
      </c>
      <c r="M72" s="33" t="s">
        <v>104</v>
      </c>
      <c r="N72" s="34">
        <f t="shared" si="6"/>
        <v>0</v>
      </c>
      <c r="O72" s="34" t="str">
        <f t="shared" si="7"/>
        <v>Yes</v>
      </c>
      <c r="P72" s="39">
        <f t="shared" si="8"/>
        <v>46143</v>
      </c>
      <c r="Q72" s="34" t="str">
        <f t="shared" si="9"/>
        <v>OK</v>
      </c>
    </row>
    <row r="73" spans="1:17" x14ac:dyDescent="0.3">
      <c r="A73" s="33" t="s">
        <v>224</v>
      </c>
      <c r="B73" s="13">
        <v>46169</v>
      </c>
      <c r="C73" s="33" t="s">
        <v>156</v>
      </c>
      <c r="D73" s="33" t="s">
        <v>161</v>
      </c>
      <c r="E73" s="34" t="str">
        <f>IFERROR(VLOOKUP(D73,Masters!$A$5:$E$16,2,FALSE()),"")</f>
        <v>Delhi</v>
      </c>
      <c r="F73" s="34" t="str">
        <f>IFERROR(VLOOKUP(D73,Masters!$A$5:$E$16,3,FALSE()),"")</f>
        <v>Chandigarh</v>
      </c>
      <c r="G73" s="35">
        <v>6870</v>
      </c>
      <c r="H73" s="36">
        <f>IFERROR(INDEX(Masters!$D$5:$D$16,MATCH(D73,Masters!$A$5:$A$16,0)),"")</f>
        <v>3</v>
      </c>
      <c r="I73" s="37">
        <f t="shared" si="5"/>
        <v>20610</v>
      </c>
      <c r="J73" s="33" t="s">
        <v>136</v>
      </c>
      <c r="K73" s="38">
        <f>IF(OR(B73="",D73=""),"",IFERROR(B73+VLOOKUP(D73,Masters!$A$5:$E$16,5,FALSE()),""))</f>
        <v>46171</v>
      </c>
      <c r="L73" s="13">
        <v>46170</v>
      </c>
      <c r="M73" s="33" t="s">
        <v>104</v>
      </c>
      <c r="N73" s="34">
        <f t="shared" si="6"/>
        <v>0</v>
      </c>
      <c r="O73" s="34" t="str">
        <f t="shared" si="7"/>
        <v>Yes</v>
      </c>
      <c r="P73" s="39">
        <f t="shared" si="8"/>
        <v>46143</v>
      </c>
      <c r="Q73" s="34" t="str">
        <f t="shared" si="9"/>
        <v>OK</v>
      </c>
    </row>
    <row r="74" spans="1:17" x14ac:dyDescent="0.3">
      <c r="A74" s="33" t="s">
        <v>225</v>
      </c>
      <c r="B74" s="13">
        <v>46169</v>
      </c>
      <c r="C74" s="33" t="s">
        <v>156</v>
      </c>
      <c r="D74" s="33" t="s">
        <v>132</v>
      </c>
      <c r="E74" s="34" t="str">
        <f>IFERROR(VLOOKUP(D74,Masters!$A$5:$E$16,2,FALSE()),"")</f>
        <v>Delhi</v>
      </c>
      <c r="F74" s="34" t="str">
        <f>IFERROR(VLOOKUP(D74,Masters!$A$5:$E$16,3,FALSE()),"")</f>
        <v>Ahmedabad</v>
      </c>
      <c r="G74" s="35">
        <v>4250</v>
      </c>
      <c r="H74" s="36">
        <f>IFERROR(INDEX(Masters!$D$5:$D$16,MATCH(D74,Masters!$A$5:$A$16,0)),"")</f>
        <v>7.5</v>
      </c>
      <c r="I74" s="37">
        <f t="shared" si="5"/>
        <v>31875</v>
      </c>
      <c r="J74" s="33" t="s">
        <v>129</v>
      </c>
      <c r="K74" s="38">
        <f>IF(OR(B74="",D74=""),"",IFERROR(B74+VLOOKUP(D74,Masters!$A$5:$E$16,5,FALSE()),""))</f>
        <v>46173</v>
      </c>
      <c r="L74" s="13">
        <v>46172</v>
      </c>
      <c r="M74" s="33" t="s">
        <v>104</v>
      </c>
      <c r="N74" s="34">
        <f t="shared" si="6"/>
        <v>0</v>
      </c>
      <c r="O74" s="34" t="str">
        <f t="shared" si="7"/>
        <v>Yes</v>
      </c>
      <c r="P74" s="39">
        <f t="shared" si="8"/>
        <v>46143</v>
      </c>
      <c r="Q74" s="34" t="str">
        <f t="shared" si="9"/>
        <v>OK</v>
      </c>
    </row>
    <row r="75" spans="1:17" x14ac:dyDescent="0.3">
      <c r="A75" s="33" t="s">
        <v>226</v>
      </c>
      <c r="B75" s="13">
        <v>46171</v>
      </c>
      <c r="C75" s="33" t="s">
        <v>127</v>
      </c>
      <c r="D75" s="33" t="s">
        <v>138</v>
      </c>
      <c r="E75" s="34" t="str">
        <f>IFERROR(VLOOKUP(D75,Masters!$A$5:$E$16,2,FALSE()),"")</f>
        <v>Delhi</v>
      </c>
      <c r="F75" s="34" t="str">
        <f>IFERROR(VLOOKUP(D75,Masters!$A$5:$E$16,3,FALSE()),"")</f>
        <v>Kolkata</v>
      </c>
      <c r="G75" s="35">
        <v>2910</v>
      </c>
      <c r="H75" s="36">
        <f>IFERROR(INDEX(Masters!$D$5:$D$16,MATCH(D75,Masters!$A$5:$A$16,0)),"")</f>
        <v>12</v>
      </c>
      <c r="I75" s="37">
        <f t="shared" si="5"/>
        <v>34920</v>
      </c>
      <c r="J75" s="33" t="s">
        <v>129</v>
      </c>
      <c r="K75" s="38">
        <f>IF(OR(B75="",D75=""),"",IFERROR(B75+VLOOKUP(D75,Masters!$A$5:$E$16,5,FALSE()),""))</f>
        <v>46178</v>
      </c>
      <c r="L75" s="13">
        <v>46178</v>
      </c>
      <c r="M75" s="33" t="s">
        <v>104</v>
      </c>
      <c r="N75" s="34">
        <f t="shared" si="6"/>
        <v>0</v>
      </c>
      <c r="O75" s="34" t="str">
        <f t="shared" si="7"/>
        <v>Yes</v>
      </c>
      <c r="P75" s="39">
        <f t="shared" si="8"/>
        <v>46143</v>
      </c>
      <c r="Q75" s="34" t="str">
        <f t="shared" si="9"/>
        <v>OK</v>
      </c>
    </row>
    <row r="76" spans="1:17" x14ac:dyDescent="0.3">
      <c r="A76" s="33" t="s">
        <v>227</v>
      </c>
      <c r="B76" s="13">
        <v>46172</v>
      </c>
      <c r="C76" s="33" t="s">
        <v>171</v>
      </c>
      <c r="D76" s="33" t="s">
        <v>128</v>
      </c>
      <c r="E76" s="34" t="str">
        <f>IFERROR(VLOOKUP(D76,Masters!$A$5:$E$16,2,FALSE()),"")</f>
        <v>Ghaziabad</v>
      </c>
      <c r="F76" s="34" t="str">
        <f>IFERROR(VLOOKUP(D76,Masters!$A$5:$E$16,3,FALSE()),"")</f>
        <v>Meerut</v>
      </c>
      <c r="G76" s="35">
        <v>8090</v>
      </c>
      <c r="H76" s="36">
        <f>IFERROR(INDEX(Masters!$D$5:$D$16,MATCH(D76,Masters!$A$5:$A$16,0)),"")</f>
        <v>1.8</v>
      </c>
      <c r="I76" s="37">
        <f t="shared" si="5"/>
        <v>14562</v>
      </c>
      <c r="J76" s="33" t="s">
        <v>136</v>
      </c>
      <c r="K76" s="38">
        <f>IF(OR(B76="",D76=""),"",IFERROR(B76+VLOOKUP(D76,Masters!$A$5:$E$16,5,FALSE()),""))</f>
        <v>46173</v>
      </c>
      <c r="L76" s="13">
        <v>46176</v>
      </c>
      <c r="M76" s="33" t="s">
        <v>104</v>
      </c>
      <c r="N76" s="34">
        <f t="shared" si="6"/>
        <v>3</v>
      </c>
      <c r="O76" s="34" t="str">
        <f t="shared" si="7"/>
        <v>No</v>
      </c>
      <c r="P76" s="39">
        <f t="shared" si="8"/>
        <v>46143</v>
      </c>
      <c r="Q76" s="34" t="str">
        <f t="shared" si="9"/>
        <v>OK</v>
      </c>
    </row>
    <row r="77" spans="1:17" x14ac:dyDescent="0.3">
      <c r="A77" s="33" t="s">
        <v>228</v>
      </c>
      <c r="B77" s="13">
        <v>46172</v>
      </c>
      <c r="C77" s="33" t="s">
        <v>151</v>
      </c>
      <c r="D77" s="33" t="s">
        <v>220</v>
      </c>
      <c r="E77" s="34" t="str">
        <f>IFERROR(VLOOKUP(D77,Masters!$A$5:$E$16,2,FALSE()),"")</f>
        <v>Delhi</v>
      </c>
      <c r="F77" s="34" t="str">
        <f>IFERROR(VLOOKUP(D77,Masters!$A$5:$E$16,3,FALSE()),"")</f>
        <v>Indore</v>
      </c>
      <c r="G77" s="35">
        <v>5900</v>
      </c>
      <c r="H77" s="36">
        <f>IFERROR(INDEX(Masters!$D$5:$D$16,MATCH(D77,Masters!$A$5:$A$16,0)),"")</f>
        <v>9</v>
      </c>
      <c r="I77" s="37">
        <f t="shared" si="5"/>
        <v>53100</v>
      </c>
      <c r="J77" s="33" t="s">
        <v>136</v>
      </c>
      <c r="K77" s="38">
        <f>IF(OR(B77="",D77=""),"",IFERROR(B77+VLOOKUP(D77,Masters!$A$5:$E$16,5,FALSE()),""))</f>
        <v>46177</v>
      </c>
      <c r="L77" s="13">
        <v>46176</v>
      </c>
      <c r="M77" s="33" t="s">
        <v>104</v>
      </c>
      <c r="N77" s="34">
        <f t="shared" si="6"/>
        <v>0</v>
      </c>
      <c r="O77" s="34" t="str">
        <f t="shared" si="7"/>
        <v>Yes</v>
      </c>
      <c r="P77" s="39">
        <f t="shared" si="8"/>
        <v>46143</v>
      </c>
      <c r="Q77" s="34" t="str">
        <f t="shared" si="9"/>
        <v>OK</v>
      </c>
    </row>
    <row r="78" spans="1:17" x14ac:dyDescent="0.3">
      <c r="A78" s="33" t="s">
        <v>229</v>
      </c>
      <c r="B78" s="13">
        <v>46172</v>
      </c>
      <c r="C78" s="33"/>
      <c r="D78" s="33" t="s">
        <v>220</v>
      </c>
      <c r="E78" s="34" t="str">
        <f>IFERROR(VLOOKUP(D78,Masters!$A$5:$E$16,2,FALSE()),"")</f>
        <v>Delhi</v>
      </c>
      <c r="F78" s="34" t="str">
        <f>IFERROR(VLOOKUP(D78,Masters!$A$5:$E$16,3,FALSE()),"")</f>
        <v>Indore</v>
      </c>
      <c r="G78" s="35">
        <v>5580</v>
      </c>
      <c r="H78" s="36">
        <f>IFERROR(INDEX(Masters!$D$5:$D$16,MATCH(D78,Masters!$A$5:$A$16,0)),"")</f>
        <v>9</v>
      </c>
      <c r="I78" s="37">
        <f t="shared" si="5"/>
        <v>50220</v>
      </c>
      <c r="J78" s="33" t="s">
        <v>136</v>
      </c>
      <c r="K78" s="38">
        <f>IF(OR(B78="",D78=""),"",IFERROR(B78+VLOOKUP(D78,Masters!$A$5:$E$16,5,FALSE()),""))</f>
        <v>46177</v>
      </c>
      <c r="L78" s="13">
        <v>46179</v>
      </c>
      <c r="M78" s="33" t="s">
        <v>104</v>
      </c>
      <c r="N78" s="34">
        <f t="shared" si="6"/>
        <v>2</v>
      </c>
      <c r="O78" s="34" t="str">
        <f t="shared" si="7"/>
        <v>No</v>
      </c>
      <c r="P78" s="39">
        <f t="shared" si="8"/>
        <v>46143</v>
      </c>
      <c r="Q78" s="34" t="str">
        <f t="shared" si="9"/>
        <v>Missing Field</v>
      </c>
    </row>
    <row r="79" spans="1:17" x14ac:dyDescent="0.3">
      <c r="A79" s="33" t="s">
        <v>230</v>
      </c>
      <c r="B79" s="13">
        <v>46173</v>
      </c>
      <c r="C79" s="33" t="s">
        <v>171</v>
      </c>
      <c r="D79" s="33" t="s">
        <v>159</v>
      </c>
      <c r="E79" s="34" t="str">
        <f>IFERROR(VLOOKUP(D79,Masters!$A$5:$E$16,2,FALSE()),"")</f>
        <v>Delhi</v>
      </c>
      <c r="F79" s="34" t="str">
        <f>IFERROR(VLOOKUP(D79,Masters!$A$5:$E$16,3,FALSE()),"")</f>
        <v>Jaipur</v>
      </c>
      <c r="G79" s="35">
        <v>6310</v>
      </c>
      <c r="H79" s="36">
        <f>IFERROR(INDEX(Masters!$D$5:$D$16,MATCH(D79,Masters!$A$5:$A$16,0)),"")</f>
        <v>3.5</v>
      </c>
      <c r="I79" s="37">
        <f t="shared" si="5"/>
        <v>22085</v>
      </c>
      <c r="J79" s="33" t="s">
        <v>136</v>
      </c>
      <c r="K79" s="38">
        <f>IF(OR(B79="",D79=""),"",IFERROR(B79+VLOOKUP(D79,Masters!$A$5:$E$16,5,FALSE()),""))</f>
        <v>46175</v>
      </c>
      <c r="L79" s="13">
        <v>46178</v>
      </c>
      <c r="M79" s="33" t="s">
        <v>104</v>
      </c>
      <c r="N79" s="34">
        <f t="shared" si="6"/>
        <v>3</v>
      </c>
      <c r="O79" s="34" t="str">
        <f t="shared" si="7"/>
        <v>No</v>
      </c>
      <c r="P79" s="39">
        <f t="shared" si="8"/>
        <v>46143</v>
      </c>
      <c r="Q79" s="34" t="str">
        <f t="shared" si="9"/>
        <v>OK</v>
      </c>
    </row>
    <row r="80" spans="1:17" x14ac:dyDescent="0.3">
      <c r="A80" s="33" t="s">
        <v>231</v>
      </c>
      <c r="B80" s="13">
        <v>46174</v>
      </c>
      <c r="C80" s="33" t="s">
        <v>127</v>
      </c>
      <c r="D80" s="33" t="s">
        <v>184</v>
      </c>
      <c r="E80" s="34" t="str">
        <f>IFERROR(VLOOKUP(D80,Masters!$A$5:$E$16,2,FALSE()),"")</f>
        <v>Delhi</v>
      </c>
      <c r="F80" s="34" t="str">
        <f>IFERROR(VLOOKUP(D80,Masters!$A$5:$E$16,3,FALSE()),"")</f>
        <v>Agra</v>
      </c>
      <c r="G80" s="35">
        <v>5830</v>
      </c>
      <c r="H80" s="36">
        <f>IFERROR(INDEX(Masters!$D$5:$D$16,MATCH(D80,Masters!$A$5:$A$16,0)),"")</f>
        <v>2.8</v>
      </c>
      <c r="I80" s="37">
        <f t="shared" si="5"/>
        <v>16323.999999999998</v>
      </c>
      <c r="J80" s="33" t="s">
        <v>136</v>
      </c>
      <c r="K80" s="38">
        <f>IF(OR(B80="",D80=""),"",IFERROR(B80+VLOOKUP(D80,Masters!$A$5:$E$16,5,FALSE()),""))</f>
        <v>46176</v>
      </c>
      <c r="L80" s="13">
        <v>46176</v>
      </c>
      <c r="M80" s="33" t="s">
        <v>104</v>
      </c>
      <c r="N80" s="34">
        <f t="shared" si="6"/>
        <v>0</v>
      </c>
      <c r="O80" s="34" t="str">
        <f t="shared" si="7"/>
        <v>Yes</v>
      </c>
      <c r="P80" s="39">
        <f t="shared" si="8"/>
        <v>46174</v>
      </c>
      <c r="Q80" s="34" t="str">
        <f t="shared" si="9"/>
        <v>OK</v>
      </c>
    </row>
    <row r="81" spans="1:17" x14ac:dyDescent="0.3">
      <c r="A81" s="33" t="s">
        <v>232</v>
      </c>
      <c r="B81" s="13">
        <v>46176</v>
      </c>
      <c r="C81" s="33" t="s">
        <v>142</v>
      </c>
      <c r="D81" s="33" t="s">
        <v>159</v>
      </c>
      <c r="E81" s="34" t="str">
        <f>IFERROR(VLOOKUP(D81,Masters!$A$5:$E$16,2,FALSE()),"")</f>
        <v>Delhi</v>
      </c>
      <c r="F81" s="34" t="str">
        <f>IFERROR(VLOOKUP(D81,Masters!$A$5:$E$16,3,FALSE()),"")</f>
        <v>Jaipur</v>
      </c>
      <c r="G81" s="35">
        <v>3930</v>
      </c>
      <c r="H81" s="36">
        <f>IFERROR(INDEX(Masters!$D$5:$D$16,MATCH(D81,Masters!$A$5:$A$16,0)),"")</f>
        <v>3.5</v>
      </c>
      <c r="I81" s="37">
        <f t="shared" si="5"/>
        <v>13755</v>
      </c>
      <c r="J81" s="33" t="s">
        <v>129</v>
      </c>
      <c r="K81" s="38">
        <f>IF(OR(B81="",D81=""),"",IFERROR(B81+VLOOKUP(D81,Masters!$A$5:$E$16,5,FALSE()),""))</f>
        <v>46178</v>
      </c>
      <c r="L81" s="13">
        <v>46178</v>
      </c>
      <c r="M81" s="33" t="s">
        <v>104</v>
      </c>
      <c r="N81" s="34">
        <f t="shared" si="6"/>
        <v>0</v>
      </c>
      <c r="O81" s="34" t="str">
        <f t="shared" si="7"/>
        <v>Yes</v>
      </c>
      <c r="P81" s="39">
        <f t="shared" si="8"/>
        <v>46174</v>
      </c>
      <c r="Q81" s="34" t="str">
        <f t="shared" si="9"/>
        <v>OK</v>
      </c>
    </row>
    <row r="82" spans="1:17" x14ac:dyDescent="0.3">
      <c r="A82" s="33" t="s">
        <v>233</v>
      </c>
      <c r="B82" s="13">
        <v>46176</v>
      </c>
      <c r="C82" s="33" t="s">
        <v>171</v>
      </c>
      <c r="D82" s="33" t="s">
        <v>138</v>
      </c>
      <c r="E82" s="34" t="str">
        <f>IFERROR(VLOOKUP(D82,Masters!$A$5:$E$16,2,FALSE()),"")</f>
        <v>Delhi</v>
      </c>
      <c r="F82" s="34" t="str">
        <f>IFERROR(VLOOKUP(D82,Masters!$A$5:$E$16,3,FALSE()),"")</f>
        <v>Kolkata</v>
      </c>
      <c r="G82" s="35">
        <v>7400</v>
      </c>
      <c r="H82" s="36">
        <f>IFERROR(INDEX(Masters!$D$5:$D$16,MATCH(D82,Masters!$A$5:$A$16,0)),"")</f>
        <v>12</v>
      </c>
      <c r="I82" s="37">
        <f t="shared" si="5"/>
        <v>88800</v>
      </c>
      <c r="J82" s="33" t="s">
        <v>136</v>
      </c>
      <c r="K82" s="38">
        <f>IF(OR(B82="",D82=""),"",IFERROR(B82+VLOOKUP(D82,Masters!$A$5:$E$16,5,FALSE()),""))</f>
        <v>46183</v>
      </c>
      <c r="L82" s="13">
        <v>46186</v>
      </c>
      <c r="M82" s="33" t="s">
        <v>104</v>
      </c>
      <c r="N82" s="34">
        <f t="shared" si="6"/>
        <v>3</v>
      </c>
      <c r="O82" s="34" t="str">
        <f t="shared" si="7"/>
        <v>No</v>
      </c>
      <c r="P82" s="39">
        <f t="shared" si="8"/>
        <v>46174</v>
      </c>
      <c r="Q82" s="34" t="str">
        <f t="shared" si="9"/>
        <v>OK</v>
      </c>
    </row>
    <row r="83" spans="1:17" x14ac:dyDescent="0.3">
      <c r="A83" s="33" t="s">
        <v>234</v>
      </c>
      <c r="B83" s="13">
        <v>46177</v>
      </c>
      <c r="C83" s="33" t="s">
        <v>151</v>
      </c>
      <c r="D83" s="33" t="s">
        <v>135</v>
      </c>
      <c r="E83" s="34" t="str">
        <f>IFERROR(VLOOKUP(D83,Masters!$A$5:$E$16,2,FALSE()),"")</f>
        <v>Delhi</v>
      </c>
      <c r="F83" s="34" t="str">
        <f>IFERROR(VLOOKUP(D83,Masters!$A$5:$E$16,3,FALSE()),"")</f>
        <v>Lucknow</v>
      </c>
      <c r="G83" s="35">
        <v>3500</v>
      </c>
      <c r="H83" s="36">
        <f>IFERROR(INDEX(Masters!$D$5:$D$16,MATCH(D83,Masters!$A$5:$A$16,0)),"")</f>
        <v>5.2</v>
      </c>
      <c r="I83" s="37">
        <f t="shared" si="5"/>
        <v>18200</v>
      </c>
      <c r="J83" s="33" t="s">
        <v>129</v>
      </c>
      <c r="K83" s="38">
        <f>IF(OR(B83="",D83=""),"",IFERROR(B83+VLOOKUP(D83,Masters!$A$5:$E$16,5,FALSE()),""))</f>
        <v>46180</v>
      </c>
      <c r="L83" s="13">
        <v>46182</v>
      </c>
      <c r="M83" s="33" t="s">
        <v>104</v>
      </c>
      <c r="N83" s="34">
        <f t="shared" si="6"/>
        <v>2</v>
      </c>
      <c r="O83" s="34" t="str">
        <f t="shared" si="7"/>
        <v>No</v>
      </c>
      <c r="P83" s="39">
        <f t="shared" si="8"/>
        <v>46174</v>
      </c>
      <c r="Q83" s="34" t="str">
        <f t="shared" si="9"/>
        <v>OK</v>
      </c>
    </row>
    <row r="84" spans="1:17" x14ac:dyDescent="0.3">
      <c r="A84" s="33" t="s">
        <v>235</v>
      </c>
      <c r="B84" s="13">
        <v>46178</v>
      </c>
      <c r="C84" s="33" t="s">
        <v>146</v>
      </c>
      <c r="D84" s="33" t="s">
        <v>154</v>
      </c>
      <c r="E84" s="34" t="str">
        <f>IFERROR(VLOOKUP(D84,Masters!$A$5:$E$16,2,FALSE()),"")</f>
        <v>Delhi</v>
      </c>
      <c r="F84" s="34" t="str">
        <f>IFERROR(VLOOKUP(D84,Masters!$A$5:$E$16,3,FALSE()),"")</f>
        <v>Bhopal</v>
      </c>
      <c r="G84" s="35">
        <v>1720</v>
      </c>
      <c r="H84" s="36">
        <f>IFERROR(INDEX(Masters!$D$5:$D$16,MATCH(D84,Masters!$A$5:$A$16,0)),"")</f>
        <v>8</v>
      </c>
      <c r="I84" s="37">
        <f t="shared" si="5"/>
        <v>13760</v>
      </c>
      <c r="J84" s="33" t="s">
        <v>144</v>
      </c>
      <c r="K84" s="38">
        <f>IF(OR(B84="",D84=""),"",IFERROR(B84+VLOOKUP(D84,Masters!$A$5:$E$16,5,FALSE()),""))</f>
        <v>46183</v>
      </c>
      <c r="L84" s="13">
        <v>46183</v>
      </c>
      <c r="M84" s="33" t="s">
        <v>104</v>
      </c>
      <c r="N84" s="34">
        <f t="shared" si="6"/>
        <v>0</v>
      </c>
      <c r="O84" s="34" t="str">
        <f t="shared" si="7"/>
        <v>Yes</v>
      </c>
      <c r="P84" s="39">
        <f t="shared" si="8"/>
        <v>46174</v>
      </c>
      <c r="Q84" s="34" t="str">
        <f t="shared" si="9"/>
        <v>OK</v>
      </c>
    </row>
    <row r="85" spans="1:17" x14ac:dyDescent="0.3">
      <c r="A85" s="33" t="s">
        <v>236</v>
      </c>
      <c r="B85" s="13">
        <v>46179</v>
      </c>
      <c r="C85" s="33" t="s">
        <v>180</v>
      </c>
      <c r="D85" s="33" t="s">
        <v>161</v>
      </c>
      <c r="E85" s="34" t="str">
        <f>IFERROR(VLOOKUP(D85,Masters!$A$5:$E$16,2,FALSE()),"")</f>
        <v>Delhi</v>
      </c>
      <c r="F85" s="34" t="str">
        <f>IFERROR(VLOOKUP(D85,Masters!$A$5:$E$16,3,FALSE()),"")</f>
        <v>Chandigarh</v>
      </c>
      <c r="G85" s="35">
        <v>10090</v>
      </c>
      <c r="H85" s="36">
        <f>IFERROR(INDEX(Masters!$D$5:$D$16,MATCH(D85,Masters!$A$5:$A$16,0)),"")</f>
        <v>3</v>
      </c>
      <c r="I85" s="37">
        <f t="shared" si="5"/>
        <v>30270</v>
      </c>
      <c r="J85" s="33" t="s">
        <v>157</v>
      </c>
      <c r="K85" s="38">
        <f>IF(OR(B85="",D85=""),"",IFERROR(B85+VLOOKUP(D85,Masters!$A$5:$E$16,5,FALSE()),""))</f>
        <v>46181</v>
      </c>
      <c r="L85" s="13">
        <v>46181</v>
      </c>
      <c r="M85" s="33" t="s">
        <v>104</v>
      </c>
      <c r="N85" s="34">
        <f t="shared" si="6"/>
        <v>0</v>
      </c>
      <c r="O85" s="34" t="str">
        <f t="shared" si="7"/>
        <v>Yes</v>
      </c>
      <c r="P85" s="39">
        <f t="shared" si="8"/>
        <v>46174</v>
      </c>
      <c r="Q85" s="34" t="str">
        <f t="shared" si="9"/>
        <v>OK</v>
      </c>
    </row>
    <row r="86" spans="1:17" x14ac:dyDescent="0.3">
      <c r="A86" s="33" t="s">
        <v>237</v>
      </c>
      <c r="B86" s="13">
        <v>46180</v>
      </c>
      <c r="C86" s="33" t="s">
        <v>156</v>
      </c>
      <c r="D86" s="33" t="s">
        <v>154</v>
      </c>
      <c r="E86" s="34" t="str">
        <f>IFERROR(VLOOKUP(D86,Masters!$A$5:$E$16,2,FALSE()),"")</f>
        <v>Delhi</v>
      </c>
      <c r="F86" s="34" t="str">
        <f>IFERROR(VLOOKUP(D86,Masters!$A$5:$E$16,3,FALSE()),"")</f>
        <v>Bhopal</v>
      </c>
      <c r="G86" s="35">
        <v>2990</v>
      </c>
      <c r="H86" s="36">
        <f>IFERROR(INDEX(Masters!$D$5:$D$16,MATCH(D86,Masters!$A$5:$A$16,0)),"")</f>
        <v>8</v>
      </c>
      <c r="I86" s="37">
        <f t="shared" si="5"/>
        <v>23920</v>
      </c>
      <c r="J86" s="33" t="s">
        <v>129</v>
      </c>
      <c r="K86" s="38">
        <f>IF(OR(B86="",D86=""),"",IFERROR(B86+VLOOKUP(D86,Masters!$A$5:$E$16,5,FALSE()),""))</f>
        <v>46185</v>
      </c>
      <c r="L86" s="13">
        <v>46188</v>
      </c>
      <c r="M86" s="33" t="s">
        <v>104</v>
      </c>
      <c r="N86" s="34">
        <f t="shared" si="6"/>
        <v>3</v>
      </c>
      <c r="O86" s="34" t="str">
        <f t="shared" si="7"/>
        <v>No</v>
      </c>
      <c r="P86" s="39">
        <f t="shared" si="8"/>
        <v>46174</v>
      </c>
      <c r="Q86" s="34" t="str">
        <f t="shared" si="9"/>
        <v>OK</v>
      </c>
    </row>
    <row r="87" spans="1:17" x14ac:dyDescent="0.3">
      <c r="A87" s="33" t="s">
        <v>238</v>
      </c>
      <c r="B87" s="13">
        <v>46180</v>
      </c>
      <c r="C87" s="33" t="s">
        <v>149</v>
      </c>
      <c r="D87" s="33" t="s">
        <v>159</v>
      </c>
      <c r="E87" s="34" t="str">
        <f>IFERROR(VLOOKUP(D87,Masters!$A$5:$E$16,2,FALSE()),"")</f>
        <v>Delhi</v>
      </c>
      <c r="F87" s="34" t="str">
        <f>IFERROR(VLOOKUP(D87,Masters!$A$5:$E$16,3,FALSE()),"")</f>
        <v>Jaipur</v>
      </c>
      <c r="G87" s="35">
        <v>2450</v>
      </c>
      <c r="H87" s="36">
        <f>IFERROR(INDEX(Masters!$D$5:$D$16,MATCH(D87,Masters!$A$5:$A$16,0)),"")</f>
        <v>3.5</v>
      </c>
      <c r="I87" s="37">
        <f t="shared" si="5"/>
        <v>8575</v>
      </c>
      <c r="J87" s="33" t="s">
        <v>144</v>
      </c>
      <c r="K87" s="38">
        <f>IF(OR(B87="",D87=""),"",IFERROR(B87+VLOOKUP(D87,Masters!$A$5:$E$16,5,FALSE()),""))</f>
        <v>46182</v>
      </c>
      <c r="L87" s="13">
        <v>46182</v>
      </c>
      <c r="M87" s="33" t="s">
        <v>104</v>
      </c>
      <c r="N87" s="34">
        <f t="shared" si="6"/>
        <v>0</v>
      </c>
      <c r="O87" s="34" t="str">
        <f t="shared" si="7"/>
        <v>Yes</v>
      </c>
      <c r="P87" s="39">
        <f t="shared" si="8"/>
        <v>46174</v>
      </c>
      <c r="Q87" s="34" t="str">
        <f t="shared" si="9"/>
        <v>OK</v>
      </c>
    </row>
    <row r="88" spans="1:17" x14ac:dyDescent="0.3">
      <c r="A88" s="33" t="s">
        <v>186</v>
      </c>
      <c r="B88" s="13">
        <v>46185</v>
      </c>
      <c r="C88" s="33" t="s">
        <v>149</v>
      </c>
      <c r="D88" s="33" t="s">
        <v>140</v>
      </c>
      <c r="E88" s="34" t="str">
        <f>IFERROR(VLOOKUP(D88,Masters!$A$5:$E$16,2,FALSE()),"")</f>
        <v>Delhi</v>
      </c>
      <c r="F88" s="34" t="str">
        <f>IFERROR(VLOOKUP(D88,Masters!$A$5:$E$16,3,FALSE()),"")</f>
        <v>Mumbai</v>
      </c>
      <c r="G88" s="35">
        <v>3550</v>
      </c>
      <c r="H88" s="36">
        <f>IFERROR(INDEX(Masters!$D$5:$D$16,MATCH(D88,Masters!$A$5:$A$16,0)),"")</f>
        <v>9.5</v>
      </c>
      <c r="I88" s="37">
        <f t="shared" si="5"/>
        <v>33725</v>
      </c>
      <c r="J88" s="33" t="s">
        <v>129</v>
      </c>
      <c r="K88" s="38">
        <f>IF(OR(B88="",D88=""),"",IFERROR(B88+VLOOKUP(D88,Masters!$A$5:$E$16,5,FALSE()),""))</f>
        <v>46191</v>
      </c>
      <c r="L88" s="13">
        <v>46191</v>
      </c>
      <c r="M88" s="33" t="s">
        <v>104</v>
      </c>
      <c r="N88" s="34">
        <f t="shared" si="6"/>
        <v>0</v>
      </c>
      <c r="O88" s="34" t="str">
        <f t="shared" si="7"/>
        <v>Yes</v>
      </c>
      <c r="P88" s="39">
        <f t="shared" si="8"/>
        <v>46174</v>
      </c>
      <c r="Q88" s="34" t="str">
        <f t="shared" si="9"/>
        <v>Duplicate ID</v>
      </c>
    </row>
    <row r="89" spans="1:17" x14ac:dyDescent="0.3">
      <c r="A89" s="33" t="s">
        <v>239</v>
      </c>
      <c r="B89" s="13">
        <v>46185</v>
      </c>
      <c r="C89" s="33" t="s">
        <v>131</v>
      </c>
      <c r="D89" s="33" t="s">
        <v>138</v>
      </c>
      <c r="E89" s="34" t="str">
        <f>IFERROR(VLOOKUP(D89,Masters!$A$5:$E$16,2,FALSE()),"")</f>
        <v>Delhi</v>
      </c>
      <c r="F89" s="34" t="str">
        <f>IFERROR(VLOOKUP(D89,Masters!$A$5:$E$16,3,FALSE()),"")</f>
        <v>Kolkata</v>
      </c>
      <c r="G89" s="35">
        <v>7500</v>
      </c>
      <c r="H89" s="36">
        <f>IFERROR(INDEX(Masters!$D$5:$D$16,MATCH(D89,Masters!$A$5:$A$16,0)),"")</f>
        <v>12</v>
      </c>
      <c r="I89" s="37">
        <f t="shared" si="5"/>
        <v>90000</v>
      </c>
      <c r="J89" s="33" t="s">
        <v>136</v>
      </c>
      <c r="K89" s="38">
        <f>IF(OR(B89="",D89=""),"",IFERROR(B89+VLOOKUP(D89,Masters!$A$5:$E$16,5,FALSE()),""))</f>
        <v>46192</v>
      </c>
      <c r="L89" s="13">
        <v>46192</v>
      </c>
      <c r="M89" s="33" t="s">
        <v>104</v>
      </c>
      <c r="N89" s="34">
        <f t="shared" si="6"/>
        <v>0</v>
      </c>
      <c r="O89" s="34" t="str">
        <f t="shared" si="7"/>
        <v>Yes</v>
      </c>
      <c r="P89" s="39">
        <f t="shared" si="8"/>
        <v>46174</v>
      </c>
      <c r="Q89" s="34" t="str">
        <f t="shared" si="9"/>
        <v>OK</v>
      </c>
    </row>
    <row r="90" spans="1:17" x14ac:dyDescent="0.3">
      <c r="A90" s="33" t="s">
        <v>240</v>
      </c>
      <c r="B90" s="13">
        <v>46186</v>
      </c>
      <c r="C90" s="33" t="s">
        <v>127</v>
      </c>
      <c r="D90" s="33" t="s">
        <v>152</v>
      </c>
      <c r="E90" s="34" t="str">
        <f>IFERROR(VLOOKUP(D90,Masters!$A$5:$E$16,2,FALSE()),"")</f>
        <v>Delhi</v>
      </c>
      <c r="F90" s="34" t="str">
        <f>IFERROR(VLOOKUP(D90,Masters!$A$5:$E$16,3,FALSE()),"")</f>
        <v>Dehradun</v>
      </c>
      <c r="G90" s="35">
        <v>1480</v>
      </c>
      <c r="H90" s="36">
        <f>IFERROR(INDEX(Masters!$D$5:$D$16,MATCH(D90,Masters!$A$5:$A$16,0)),"")</f>
        <v>4</v>
      </c>
      <c r="I90" s="37">
        <f t="shared" si="5"/>
        <v>5920</v>
      </c>
      <c r="J90" s="33" t="s">
        <v>144</v>
      </c>
      <c r="K90" s="38">
        <f>IF(OR(B90="",D90=""),"",IFERROR(B90+VLOOKUP(D90,Masters!$A$5:$E$16,5,FALSE()),""))</f>
        <v>46188</v>
      </c>
      <c r="L90" s="13">
        <v>46187</v>
      </c>
      <c r="M90" s="33" t="s">
        <v>104</v>
      </c>
      <c r="N90" s="34">
        <f t="shared" si="6"/>
        <v>0</v>
      </c>
      <c r="O90" s="34" t="str">
        <f t="shared" si="7"/>
        <v>Yes</v>
      </c>
      <c r="P90" s="39">
        <f t="shared" si="8"/>
        <v>46174</v>
      </c>
      <c r="Q90" s="34" t="str">
        <f t="shared" si="9"/>
        <v>Duplicate ID</v>
      </c>
    </row>
    <row r="91" spans="1:17" x14ac:dyDescent="0.3">
      <c r="A91" s="33" t="s">
        <v>241</v>
      </c>
      <c r="B91" s="13">
        <v>46186</v>
      </c>
      <c r="C91" s="33" t="s">
        <v>149</v>
      </c>
      <c r="D91" s="33" t="s">
        <v>154</v>
      </c>
      <c r="E91" s="34" t="str">
        <f>IFERROR(VLOOKUP(D91,Masters!$A$5:$E$16,2,FALSE()),"")</f>
        <v>Delhi</v>
      </c>
      <c r="F91" s="34" t="str">
        <f>IFERROR(VLOOKUP(D91,Masters!$A$5:$E$16,3,FALSE()),"")</f>
        <v>Bhopal</v>
      </c>
      <c r="G91" s="35">
        <v>5140</v>
      </c>
      <c r="H91" s="36">
        <f>IFERROR(INDEX(Masters!$D$5:$D$16,MATCH(D91,Masters!$A$5:$A$16,0)),"")</f>
        <v>8</v>
      </c>
      <c r="I91" s="37">
        <f t="shared" si="5"/>
        <v>41120</v>
      </c>
      <c r="J91" s="33" t="s">
        <v>136</v>
      </c>
      <c r="K91" s="38">
        <f>IF(OR(B91="",D91=""),"",IFERROR(B91+VLOOKUP(D91,Masters!$A$5:$E$16,5,FALSE()),""))</f>
        <v>46191</v>
      </c>
      <c r="L91" s="13">
        <v>46191</v>
      </c>
      <c r="M91" s="33" t="s">
        <v>104</v>
      </c>
      <c r="N91" s="34">
        <f t="shared" si="6"/>
        <v>0</v>
      </c>
      <c r="O91" s="34" t="str">
        <f t="shared" si="7"/>
        <v>Yes</v>
      </c>
      <c r="P91" s="39">
        <f t="shared" si="8"/>
        <v>46174</v>
      </c>
      <c r="Q91" s="34" t="str">
        <f t="shared" si="9"/>
        <v>OK</v>
      </c>
    </row>
    <row r="92" spans="1:17" x14ac:dyDescent="0.3">
      <c r="A92" s="33" t="s">
        <v>242</v>
      </c>
      <c r="B92" s="13">
        <v>46186</v>
      </c>
      <c r="C92" s="33" t="s">
        <v>151</v>
      </c>
      <c r="D92" s="33" t="s">
        <v>220</v>
      </c>
      <c r="E92" s="34" t="str">
        <f>IFERROR(VLOOKUP(D92,Masters!$A$5:$E$16,2,FALSE()),"")</f>
        <v>Delhi</v>
      </c>
      <c r="F92" s="34" t="str">
        <f>IFERROR(VLOOKUP(D92,Masters!$A$5:$E$16,3,FALSE()),"")</f>
        <v>Indore</v>
      </c>
      <c r="G92" s="35">
        <v>2910</v>
      </c>
      <c r="H92" s="36">
        <f>IFERROR(INDEX(Masters!$D$5:$D$16,MATCH(D92,Masters!$A$5:$A$16,0)),"")</f>
        <v>9</v>
      </c>
      <c r="I92" s="37">
        <f t="shared" si="5"/>
        <v>26190</v>
      </c>
      <c r="J92" s="33" t="s">
        <v>129</v>
      </c>
      <c r="K92" s="38">
        <f>IF(OR(B92="",D92=""),"",IFERROR(B92+VLOOKUP(D92,Masters!$A$5:$E$16,5,FALSE()),""))</f>
        <v>46191</v>
      </c>
      <c r="L92" s="13">
        <v>46190</v>
      </c>
      <c r="M92" s="33" t="s">
        <v>104</v>
      </c>
      <c r="N92" s="34">
        <f t="shared" si="6"/>
        <v>0</v>
      </c>
      <c r="O92" s="34" t="str">
        <f t="shared" si="7"/>
        <v>Yes</v>
      </c>
      <c r="P92" s="39">
        <f t="shared" si="8"/>
        <v>46174</v>
      </c>
      <c r="Q92" s="34" t="str">
        <f t="shared" si="9"/>
        <v>OK</v>
      </c>
    </row>
    <row r="93" spans="1:17" x14ac:dyDescent="0.3">
      <c r="A93" s="33" t="s">
        <v>243</v>
      </c>
      <c r="B93" s="13">
        <v>46187</v>
      </c>
      <c r="C93" s="33" t="s">
        <v>142</v>
      </c>
      <c r="D93" s="33" t="s">
        <v>135</v>
      </c>
      <c r="E93" s="34" t="str">
        <f>IFERROR(VLOOKUP(D93,Masters!$A$5:$E$16,2,FALSE()),"")</f>
        <v>Delhi</v>
      </c>
      <c r="F93" s="34" t="str">
        <f>IFERROR(VLOOKUP(D93,Masters!$A$5:$E$16,3,FALSE()),"")</f>
        <v>Lucknow</v>
      </c>
      <c r="G93" s="35">
        <v>6090</v>
      </c>
      <c r="H93" s="36">
        <f>IFERROR(INDEX(Masters!$D$5:$D$16,MATCH(D93,Masters!$A$5:$A$16,0)),"")</f>
        <v>5.2</v>
      </c>
      <c r="I93" s="37">
        <f t="shared" si="5"/>
        <v>31668</v>
      </c>
      <c r="J93" s="33" t="s">
        <v>136</v>
      </c>
      <c r="K93" s="38">
        <f>IF(OR(B93="",D93=""),"",IFERROR(B93+VLOOKUP(D93,Masters!$A$5:$E$16,5,FALSE()),""))</f>
        <v>46190</v>
      </c>
      <c r="L93" s="13">
        <v>46193</v>
      </c>
      <c r="M93" s="33" t="s">
        <v>104</v>
      </c>
      <c r="N93" s="34">
        <f t="shared" si="6"/>
        <v>3</v>
      </c>
      <c r="O93" s="34" t="str">
        <f t="shared" si="7"/>
        <v>No</v>
      </c>
      <c r="P93" s="39">
        <f t="shared" si="8"/>
        <v>46174</v>
      </c>
      <c r="Q93" s="34" t="str">
        <f t="shared" si="9"/>
        <v>OK</v>
      </c>
    </row>
    <row r="94" spans="1:17" x14ac:dyDescent="0.3">
      <c r="A94" s="33" t="s">
        <v>244</v>
      </c>
      <c r="B94" s="13">
        <v>46187</v>
      </c>
      <c r="C94" s="33" t="s">
        <v>167</v>
      </c>
      <c r="D94" s="33" t="s">
        <v>143</v>
      </c>
      <c r="E94" s="34" t="str">
        <f>IFERROR(VLOOKUP(D94,Masters!$A$5:$E$16,2,FALSE()),"")</f>
        <v>Delhi</v>
      </c>
      <c r="F94" s="34" t="str">
        <f>IFERROR(VLOOKUP(D94,Masters!$A$5:$E$16,3,FALSE()),"")</f>
        <v>Kanpur</v>
      </c>
      <c r="G94" s="35">
        <v>3090</v>
      </c>
      <c r="H94" s="36">
        <f>IFERROR(INDEX(Masters!$D$5:$D$16,MATCH(D94,Masters!$A$5:$A$16,0)),"")</f>
        <v>4.5</v>
      </c>
      <c r="I94" s="37">
        <f t="shared" si="5"/>
        <v>13905</v>
      </c>
      <c r="J94" s="33" t="s">
        <v>129</v>
      </c>
      <c r="K94" s="38">
        <f>IF(OR(B94="",D94=""),"",IFERROR(B94+VLOOKUP(D94,Masters!$A$5:$E$16,5,FALSE()),""))</f>
        <v>46190</v>
      </c>
      <c r="L94" s="13">
        <v>46190</v>
      </c>
      <c r="M94" s="33" t="s">
        <v>104</v>
      </c>
      <c r="N94" s="34">
        <f t="shared" si="6"/>
        <v>0</v>
      </c>
      <c r="O94" s="34" t="str">
        <f t="shared" si="7"/>
        <v>Yes</v>
      </c>
      <c r="P94" s="39">
        <f t="shared" si="8"/>
        <v>46174</v>
      </c>
      <c r="Q94" s="34" t="str">
        <f t="shared" si="9"/>
        <v>OK</v>
      </c>
    </row>
    <row r="95" spans="1:17" x14ac:dyDescent="0.3">
      <c r="A95" s="33" t="s">
        <v>245</v>
      </c>
      <c r="B95" s="13">
        <v>46188</v>
      </c>
      <c r="C95" s="33" t="s">
        <v>142</v>
      </c>
      <c r="D95" s="33" t="s">
        <v>159</v>
      </c>
      <c r="E95" s="34" t="str">
        <f>IFERROR(VLOOKUP(D95,Masters!$A$5:$E$16,2,FALSE()),"")</f>
        <v>Delhi</v>
      </c>
      <c r="F95" s="34" t="str">
        <f>IFERROR(VLOOKUP(D95,Masters!$A$5:$E$16,3,FALSE()),"")</f>
        <v>Jaipur</v>
      </c>
      <c r="G95" s="35">
        <v>4460</v>
      </c>
      <c r="H95" s="36">
        <f>IFERROR(INDEX(Masters!$D$5:$D$16,MATCH(D95,Masters!$A$5:$A$16,0)),"")</f>
        <v>3.5</v>
      </c>
      <c r="I95" s="37">
        <f t="shared" si="5"/>
        <v>15610</v>
      </c>
      <c r="J95" s="33" t="s">
        <v>129</v>
      </c>
      <c r="K95" s="38">
        <f>IF(OR(B95="",D95=""),"",IFERROR(B95+VLOOKUP(D95,Masters!$A$5:$E$16,5,FALSE()),""))</f>
        <v>46190</v>
      </c>
      <c r="L95" s="13">
        <v>46190</v>
      </c>
      <c r="M95" s="33" t="s">
        <v>104</v>
      </c>
      <c r="N95" s="34">
        <f t="shared" si="6"/>
        <v>0</v>
      </c>
      <c r="O95" s="34" t="str">
        <f t="shared" si="7"/>
        <v>Yes</v>
      </c>
      <c r="P95" s="39">
        <f t="shared" si="8"/>
        <v>46174</v>
      </c>
      <c r="Q95" s="34" t="str">
        <f t="shared" si="9"/>
        <v>OK</v>
      </c>
    </row>
    <row r="96" spans="1:17" x14ac:dyDescent="0.3">
      <c r="A96" s="33" t="s">
        <v>246</v>
      </c>
      <c r="B96" s="13">
        <v>46188</v>
      </c>
      <c r="C96" s="33" t="s">
        <v>127</v>
      </c>
      <c r="D96" s="33" t="s">
        <v>159</v>
      </c>
      <c r="E96" s="34" t="str">
        <f>IFERROR(VLOOKUP(D96,Masters!$A$5:$E$16,2,FALSE()),"")</f>
        <v>Delhi</v>
      </c>
      <c r="F96" s="34" t="str">
        <f>IFERROR(VLOOKUP(D96,Masters!$A$5:$E$16,3,FALSE()),"")</f>
        <v>Jaipur</v>
      </c>
      <c r="G96" s="35">
        <v>5550</v>
      </c>
      <c r="H96" s="36">
        <f>IFERROR(INDEX(Masters!$D$5:$D$16,MATCH(D96,Masters!$A$5:$A$16,0)),"")</f>
        <v>3.5</v>
      </c>
      <c r="I96" s="37">
        <f t="shared" si="5"/>
        <v>19425</v>
      </c>
      <c r="J96" s="33" t="s">
        <v>136</v>
      </c>
      <c r="K96" s="38">
        <f>IF(OR(B96="",D96=""),"",IFERROR(B96+VLOOKUP(D96,Masters!$A$5:$E$16,5,FALSE()),""))</f>
        <v>46190</v>
      </c>
      <c r="L96" s="13">
        <v>46190</v>
      </c>
      <c r="M96" s="33" t="s">
        <v>104</v>
      </c>
      <c r="N96" s="34">
        <f t="shared" si="6"/>
        <v>0</v>
      </c>
      <c r="O96" s="34" t="str">
        <f t="shared" si="7"/>
        <v>Yes</v>
      </c>
      <c r="P96" s="39">
        <f t="shared" si="8"/>
        <v>46174</v>
      </c>
      <c r="Q96" s="34" t="str">
        <f t="shared" si="9"/>
        <v>OK</v>
      </c>
    </row>
    <row r="97" spans="1:17" x14ac:dyDescent="0.3">
      <c r="A97" s="33" t="s">
        <v>247</v>
      </c>
      <c r="B97" s="13">
        <v>46188</v>
      </c>
      <c r="C97" s="33" t="s">
        <v>156</v>
      </c>
      <c r="D97" s="33" t="s">
        <v>128</v>
      </c>
      <c r="E97" s="34" t="str">
        <f>IFERROR(VLOOKUP(D97,Masters!$A$5:$E$16,2,FALSE()),"")</f>
        <v>Ghaziabad</v>
      </c>
      <c r="F97" s="34" t="str">
        <f>IFERROR(VLOOKUP(D97,Masters!$A$5:$E$16,3,FALSE()),"")</f>
        <v>Meerut</v>
      </c>
      <c r="G97" s="35">
        <v>4380</v>
      </c>
      <c r="H97" s="36">
        <f>IFERROR(INDEX(Masters!$D$5:$D$16,MATCH(D97,Masters!$A$5:$A$16,0)),"")</f>
        <v>1.8</v>
      </c>
      <c r="I97" s="37">
        <f t="shared" si="5"/>
        <v>7884</v>
      </c>
      <c r="J97" s="33" t="s">
        <v>129</v>
      </c>
      <c r="K97" s="38">
        <f>IF(OR(B97="",D97=""),"",IFERROR(B97+VLOOKUP(D97,Masters!$A$5:$E$16,5,FALSE()),""))</f>
        <v>46189</v>
      </c>
      <c r="L97" s="13">
        <v>46190</v>
      </c>
      <c r="M97" s="33" t="s">
        <v>104</v>
      </c>
      <c r="N97" s="34">
        <f t="shared" si="6"/>
        <v>1</v>
      </c>
      <c r="O97" s="34" t="str">
        <f t="shared" si="7"/>
        <v>No</v>
      </c>
      <c r="P97" s="39">
        <f t="shared" si="8"/>
        <v>46174</v>
      </c>
      <c r="Q97" s="34" t="str">
        <f t="shared" si="9"/>
        <v>OK</v>
      </c>
    </row>
    <row r="98" spans="1:17" x14ac:dyDescent="0.3">
      <c r="A98" s="33" t="s">
        <v>248</v>
      </c>
      <c r="B98" s="13">
        <v>46189</v>
      </c>
      <c r="C98" s="33" t="s">
        <v>131</v>
      </c>
      <c r="D98" s="33" t="s">
        <v>159</v>
      </c>
      <c r="E98" s="34" t="str">
        <f>IFERROR(VLOOKUP(D98,Masters!$A$5:$E$16,2,FALSE()),"")</f>
        <v>Delhi</v>
      </c>
      <c r="F98" s="34" t="str">
        <f>IFERROR(VLOOKUP(D98,Masters!$A$5:$E$16,3,FALSE()),"")</f>
        <v>Jaipur</v>
      </c>
      <c r="G98" s="35">
        <v>1880</v>
      </c>
      <c r="H98" s="36">
        <f>IFERROR(INDEX(Masters!$D$5:$D$16,MATCH(D98,Masters!$A$5:$A$16,0)),"")</f>
        <v>3.5</v>
      </c>
      <c r="I98" s="37">
        <f t="shared" si="5"/>
        <v>6580</v>
      </c>
      <c r="J98" s="33" t="s">
        <v>144</v>
      </c>
      <c r="K98" s="38">
        <f>IF(OR(B98="",D98=""),"",IFERROR(B98+VLOOKUP(D98,Masters!$A$5:$E$16,5,FALSE()),""))</f>
        <v>46191</v>
      </c>
      <c r="L98" s="13">
        <v>46191</v>
      </c>
      <c r="M98" s="33" t="s">
        <v>104</v>
      </c>
      <c r="N98" s="34">
        <f t="shared" si="6"/>
        <v>0</v>
      </c>
      <c r="O98" s="34" t="str">
        <f t="shared" si="7"/>
        <v>Yes</v>
      </c>
      <c r="P98" s="39">
        <f t="shared" si="8"/>
        <v>46174</v>
      </c>
      <c r="Q98" s="34" t="str">
        <f t="shared" si="9"/>
        <v>OK</v>
      </c>
    </row>
    <row r="99" spans="1:17" x14ac:dyDescent="0.3">
      <c r="A99" s="33" t="s">
        <v>249</v>
      </c>
      <c r="B99" s="13">
        <v>46190</v>
      </c>
      <c r="C99" s="33" t="s">
        <v>127</v>
      </c>
      <c r="D99" s="33" t="s">
        <v>138</v>
      </c>
      <c r="E99" s="34" t="str">
        <f>IFERROR(VLOOKUP(D99,Masters!$A$5:$E$16,2,FALSE()),"")</f>
        <v>Delhi</v>
      </c>
      <c r="F99" s="34" t="str">
        <f>IFERROR(VLOOKUP(D99,Masters!$A$5:$E$16,3,FALSE()),"")</f>
        <v>Kolkata</v>
      </c>
      <c r="G99" s="35">
        <v>5860</v>
      </c>
      <c r="H99" s="36">
        <f>IFERROR(INDEX(Masters!$D$5:$D$16,MATCH(D99,Masters!$A$5:$A$16,0)),"")</f>
        <v>12</v>
      </c>
      <c r="I99" s="37">
        <f t="shared" si="5"/>
        <v>70320</v>
      </c>
      <c r="J99" s="33" t="s">
        <v>136</v>
      </c>
      <c r="K99" s="38">
        <f>IF(OR(B99="",D99=""),"",IFERROR(B99+VLOOKUP(D99,Masters!$A$5:$E$16,5,FALSE()),""))</f>
        <v>46197</v>
      </c>
      <c r="L99" s="13">
        <v>46196</v>
      </c>
      <c r="M99" s="33" t="s">
        <v>104</v>
      </c>
      <c r="N99" s="34">
        <f t="shared" si="6"/>
        <v>0</v>
      </c>
      <c r="O99" s="34" t="str">
        <f t="shared" si="7"/>
        <v>Yes</v>
      </c>
      <c r="P99" s="39">
        <f t="shared" si="8"/>
        <v>46174</v>
      </c>
      <c r="Q99" s="34" t="str">
        <f t="shared" si="9"/>
        <v>Duplicate ID</v>
      </c>
    </row>
    <row r="100" spans="1:17" x14ac:dyDescent="0.3">
      <c r="A100" s="33" t="s">
        <v>250</v>
      </c>
      <c r="B100" s="13">
        <v>46191</v>
      </c>
      <c r="C100" s="33" t="s">
        <v>180</v>
      </c>
      <c r="D100" s="33" t="s">
        <v>128</v>
      </c>
      <c r="E100" s="34" t="str">
        <f>IFERROR(VLOOKUP(D100,Masters!$A$5:$E$16,2,FALSE()),"")</f>
        <v>Ghaziabad</v>
      </c>
      <c r="F100" s="34" t="str">
        <f>IFERROR(VLOOKUP(D100,Masters!$A$5:$E$16,3,FALSE()),"")</f>
        <v>Meerut</v>
      </c>
      <c r="G100" s="35">
        <v>7090</v>
      </c>
      <c r="H100" s="36">
        <f>IFERROR(INDEX(Masters!$D$5:$D$16,MATCH(D100,Masters!$A$5:$A$16,0)),"")</f>
        <v>1.8</v>
      </c>
      <c r="I100" s="37">
        <f t="shared" si="5"/>
        <v>12762</v>
      </c>
      <c r="J100" s="33" t="s">
        <v>136</v>
      </c>
      <c r="K100" s="38">
        <f>IF(OR(B100="",D100=""),"",IFERROR(B100+VLOOKUP(D100,Masters!$A$5:$E$16,5,FALSE()),""))</f>
        <v>46192</v>
      </c>
      <c r="L100" s="13">
        <v>46193</v>
      </c>
      <c r="M100" s="33" t="s">
        <v>104</v>
      </c>
      <c r="N100" s="34">
        <f t="shared" si="6"/>
        <v>1</v>
      </c>
      <c r="O100" s="34" t="str">
        <f t="shared" si="7"/>
        <v>No</v>
      </c>
      <c r="P100" s="39">
        <f t="shared" si="8"/>
        <v>46174</v>
      </c>
      <c r="Q100" s="34" t="str">
        <f t="shared" si="9"/>
        <v>OK</v>
      </c>
    </row>
    <row r="101" spans="1:17" x14ac:dyDescent="0.3">
      <c r="A101" s="33" t="s">
        <v>251</v>
      </c>
      <c r="B101" s="13">
        <v>46191</v>
      </c>
      <c r="C101" s="33" t="s">
        <v>167</v>
      </c>
      <c r="D101" s="33" t="s">
        <v>154</v>
      </c>
      <c r="E101" s="34" t="str">
        <f>IFERROR(VLOOKUP(D101,Masters!$A$5:$E$16,2,FALSE()),"")</f>
        <v>Delhi</v>
      </c>
      <c r="F101" s="34" t="str">
        <f>IFERROR(VLOOKUP(D101,Masters!$A$5:$E$16,3,FALSE()),"")</f>
        <v>Bhopal</v>
      </c>
      <c r="G101" s="35">
        <v>5430</v>
      </c>
      <c r="H101" s="36">
        <f>IFERROR(INDEX(Masters!$D$5:$D$16,MATCH(D101,Masters!$A$5:$A$16,0)),"")</f>
        <v>8</v>
      </c>
      <c r="I101" s="37">
        <f t="shared" si="5"/>
        <v>43440</v>
      </c>
      <c r="J101" s="33" t="s">
        <v>136</v>
      </c>
      <c r="K101" s="38">
        <f>IF(OR(B101="",D101=""),"",IFERROR(B101+VLOOKUP(D101,Masters!$A$5:$E$16,5,FALSE()),""))</f>
        <v>46196</v>
      </c>
      <c r="L101" s="13">
        <v>46198</v>
      </c>
      <c r="M101" s="33" t="s">
        <v>104</v>
      </c>
      <c r="N101" s="34">
        <f t="shared" si="6"/>
        <v>2</v>
      </c>
      <c r="O101" s="34" t="str">
        <f t="shared" si="7"/>
        <v>No</v>
      </c>
      <c r="P101" s="39">
        <f t="shared" si="8"/>
        <v>46174</v>
      </c>
      <c r="Q101" s="34" t="str">
        <f t="shared" si="9"/>
        <v>OK</v>
      </c>
    </row>
    <row r="102" spans="1:17" x14ac:dyDescent="0.3">
      <c r="A102" s="33" t="s">
        <v>252</v>
      </c>
      <c r="B102" s="13">
        <v>46192</v>
      </c>
      <c r="C102" s="33" t="s">
        <v>146</v>
      </c>
      <c r="D102" s="33" t="s">
        <v>161</v>
      </c>
      <c r="E102" s="34" t="str">
        <f>IFERROR(VLOOKUP(D102,Masters!$A$5:$E$16,2,FALSE()),"")</f>
        <v>Delhi</v>
      </c>
      <c r="F102" s="34" t="str">
        <f>IFERROR(VLOOKUP(D102,Masters!$A$5:$E$16,3,FALSE()),"")</f>
        <v>Chandigarh</v>
      </c>
      <c r="G102" s="35">
        <v>0</v>
      </c>
      <c r="H102" s="36">
        <f>IFERROR(INDEX(Masters!$D$5:$D$16,MATCH(D102,Masters!$A$5:$A$16,0)),"")</f>
        <v>3</v>
      </c>
      <c r="I102" s="37">
        <f t="shared" si="5"/>
        <v>0</v>
      </c>
      <c r="J102" s="33" t="s">
        <v>129</v>
      </c>
      <c r="K102" s="38">
        <f>IF(OR(B102="",D102=""),"",IFERROR(B102+VLOOKUP(D102,Masters!$A$5:$E$16,5,FALSE()),""))</f>
        <v>46194</v>
      </c>
      <c r="L102" s="13">
        <v>46194</v>
      </c>
      <c r="M102" s="33" t="s">
        <v>104</v>
      </c>
      <c r="N102" s="34">
        <f t="shared" si="6"/>
        <v>0</v>
      </c>
      <c r="O102" s="34" t="str">
        <f t="shared" si="7"/>
        <v>Yes</v>
      </c>
      <c r="P102" s="39">
        <f t="shared" si="8"/>
        <v>46174</v>
      </c>
      <c r="Q102" s="34" t="str">
        <f t="shared" si="9"/>
        <v>Invalid Weight</v>
      </c>
    </row>
    <row r="103" spans="1:17" x14ac:dyDescent="0.3">
      <c r="A103" s="33" t="s">
        <v>253</v>
      </c>
      <c r="B103" s="13">
        <v>46192</v>
      </c>
      <c r="C103" s="33" t="s">
        <v>142</v>
      </c>
      <c r="D103" s="33" t="s">
        <v>140</v>
      </c>
      <c r="E103" s="34" t="str">
        <f>IFERROR(VLOOKUP(D103,Masters!$A$5:$E$16,2,FALSE()),"")</f>
        <v>Delhi</v>
      </c>
      <c r="F103" s="34" t="str">
        <f>IFERROR(VLOOKUP(D103,Masters!$A$5:$E$16,3,FALSE()),"")</f>
        <v>Mumbai</v>
      </c>
      <c r="G103" s="35">
        <v>10650</v>
      </c>
      <c r="H103" s="36">
        <f>IFERROR(INDEX(Masters!$D$5:$D$16,MATCH(D103,Masters!$A$5:$A$16,0)),"")</f>
        <v>9.5</v>
      </c>
      <c r="I103" s="37">
        <f t="shared" si="5"/>
        <v>101175</v>
      </c>
      <c r="J103" s="33" t="s">
        <v>157</v>
      </c>
      <c r="K103" s="38">
        <f>IF(OR(B103="",D103=""),"",IFERROR(B103+VLOOKUP(D103,Masters!$A$5:$E$16,5,FALSE()),""))</f>
        <v>46198</v>
      </c>
      <c r="L103" s="13">
        <v>46198</v>
      </c>
      <c r="M103" s="33" t="s">
        <v>104</v>
      </c>
      <c r="N103" s="34">
        <f t="shared" si="6"/>
        <v>0</v>
      </c>
      <c r="O103" s="34" t="str">
        <f t="shared" si="7"/>
        <v>Yes</v>
      </c>
      <c r="P103" s="39">
        <f t="shared" si="8"/>
        <v>46174</v>
      </c>
      <c r="Q103" s="34" t="str">
        <f t="shared" si="9"/>
        <v>OK</v>
      </c>
    </row>
    <row r="104" spans="1:17" x14ac:dyDescent="0.3">
      <c r="A104" s="33" t="s">
        <v>254</v>
      </c>
      <c r="B104" s="13">
        <v>46192</v>
      </c>
      <c r="C104" s="33" t="s">
        <v>149</v>
      </c>
      <c r="D104" s="33" t="s">
        <v>138</v>
      </c>
      <c r="E104" s="34" t="str">
        <f>IFERROR(VLOOKUP(D104,Masters!$A$5:$E$16,2,FALSE()),"")</f>
        <v>Delhi</v>
      </c>
      <c r="F104" s="34" t="str">
        <f>IFERROR(VLOOKUP(D104,Masters!$A$5:$E$16,3,FALSE()),"")</f>
        <v>Kolkata</v>
      </c>
      <c r="G104" s="35">
        <v>6500</v>
      </c>
      <c r="H104" s="36">
        <f>IFERROR(INDEX(Masters!$D$5:$D$16,MATCH(D104,Masters!$A$5:$A$16,0)),"")</f>
        <v>12</v>
      </c>
      <c r="I104" s="37">
        <f t="shared" si="5"/>
        <v>78000</v>
      </c>
      <c r="J104" s="33" t="s">
        <v>136</v>
      </c>
      <c r="K104" s="38">
        <f>IF(OR(B104="",D104=""),"",IFERROR(B104+VLOOKUP(D104,Masters!$A$5:$E$16,5,FALSE()),""))</f>
        <v>46199</v>
      </c>
      <c r="L104" s="13">
        <v>46198</v>
      </c>
      <c r="M104" s="33" t="s">
        <v>104</v>
      </c>
      <c r="N104" s="34">
        <f t="shared" si="6"/>
        <v>0</v>
      </c>
      <c r="O104" s="34" t="str">
        <f t="shared" si="7"/>
        <v>Yes</v>
      </c>
      <c r="P104" s="39">
        <f t="shared" si="8"/>
        <v>46174</v>
      </c>
      <c r="Q104" s="34" t="str">
        <f t="shared" si="9"/>
        <v>OK</v>
      </c>
    </row>
    <row r="105" spans="1:17" x14ac:dyDescent="0.3">
      <c r="A105" s="33" t="s">
        <v>255</v>
      </c>
      <c r="B105" s="13">
        <v>46192</v>
      </c>
      <c r="C105" s="33" t="s">
        <v>146</v>
      </c>
      <c r="D105" s="33" t="s">
        <v>154</v>
      </c>
      <c r="E105" s="34" t="str">
        <f>IFERROR(VLOOKUP(D105,Masters!$A$5:$E$16,2,FALSE()),"")</f>
        <v>Delhi</v>
      </c>
      <c r="F105" s="34" t="str">
        <f>IFERROR(VLOOKUP(D105,Masters!$A$5:$E$16,3,FALSE()),"")</f>
        <v>Bhopal</v>
      </c>
      <c r="G105" s="35">
        <v>4000</v>
      </c>
      <c r="H105" s="36">
        <f>IFERROR(INDEX(Masters!$D$5:$D$16,MATCH(D105,Masters!$A$5:$A$16,0)),"")</f>
        <v>8</v>
      </c>
      <c r="I105" s="37">
        <f t="shared" si="5"/>
        <v>32000</v>
      </c>
      <c r="J105" s="33" t="s">
        <v>129</v>
      </c>
      <c r="K105" s="38">
        <f>IF(OR(B105="",D105=""),"",IFERROR(B105+VLOOKUP(D105,Masters!$A$5:$E$16,5,FALSE()),""))</f>
        <v>46197</v>
      </c>
      <c r="L105" s="13">
        <v>46197</v>
      </c>
      <c r="M105" s="33" t="s">
        <v>104</v>
      </c>
      <c r="N105" s="34">
        <f t="shared" si="6"/>
        <v>0</v>
      </c>
      <c r="O105" s="34" t="str">
        <f t="shared" si="7"/>
        <v>Yes</v>
      </c>
      <c r="P105" s="39">
        <f t="shared" si="8"/>
        <v>46174</v>
      </c>
      <c r="Q105" s="34" t="str">
        <f t="shared" si="9"/>
        <v>OK</v>
      </c>
    </row>
    <row r="106" spans="1:17" x14ac:dyDescent="0.3">
      <c r="A106" s="33" t="s">
        <v>249</v>
      </c>
      <c r="B106" s="13">
        <v>46192</v>
      </c>
      <c r="C106" s="33" t="s">
        <v>142</v>
      </c>
      <c r="D106" s="33" t="s">
        <v>138</v>
      </c>
      <c r="E106" s="34" t="str">
        <f>IFERROR(VLOOKUP(D106,Masters!$A$5:$E$16,2,FALSE()),"")</f>
        <v>Delhi</v>
      </c>
      <c r="F106" s="34" t="str">
        <f>IFERROR(VLOOKUP(D106,Masters!$A$5:$E$16,3,FALSE()),"")</f>
        <v>Kolkata</v>
      </c>
      <c r="G106" s="35">
        <v>2440</v>
      </c>
      <c r="H106" s="36">
        <f>IFERROR(INDEX(Masters!$D$5:$D$16,MATCH(D106,Masters!$A$5:$A$16,0)),"")</f>
        <v>12</v>
      </c>
      <c r="I106" s="37">
        <f t="shared" si="5"/>
        <v>29280</v>
      </c>
      <c r="J106" s="33" t="s">
        <v>144</v>
      </c>
      <c r="K106" s="38">
        <f>IF(OR(B106="",D106=""),"",IFERROR(B106+VLOOKUP(D106,Masters!$A$5:$E$16,5,FALSE()),""))</f>
        <v>46199</v>
      </c>
      <c r="L106" s="13">
        <v>46202</v>
      </c>
      <c r="M106" s="33" t="s">
        <v>104</v>
      </c>
      <c r="N106" s="34">
        <f t="shared" si="6"/>
        <v>3</v>
      </c>
      <c r="O106" s="34" t="str">
        <f t="shared" si="7"/>
        <v>No</v>
      </c>
      <c r="P106" s="39">
        <f t="shared" si="8"/>
        <v>46174</v>
      </c>
      <c r="Q106" s="34" t="str">
        <f t="shared" si="9"/>
        <v>Duplicate ID</v>
      </c>
    </row>
    <row r="107" spans="1:17" x14ac:dyDescent="0.3">
      <c r="A107" s="33" t="s">
        <v>256</v>
      </c>
      <c r="B107" s="13">
        <v>46193</v>
      </c>
      <c r="C107" s="33" t="s">
        <v>146</v>
      </c>
      <c r="D107" s="33" t="s">
        <v>132</v>
      </c>
      <c r="E107" s="34" t="str">
        <f>IFERROR(VLOOKUP(D107,Masters!$A$5:$E$16,2,FALSE()),"")</f>
        <v>Delhi</v>
      </c>
      <c r="F107" s="34" t="str">
        <f>IFERROR(VLOOKUP(D107,Masters!$A$5:$E$16,3,FALSE()),"")</f>
        <v>Ahmedabad</v>
      </c>
      <c r="G107" s="35">
        <v>3660</v>
      </c>
      <c r="H107" s="36">
        <f>IFERROR(INDEX(Masters!$D$5:$D$16,MATCH(D107,Masters!$A$5:$A$16,0)),"")</f>
        <v>7.5</v>
      </c>
      <c r="I107" s="37">
        <f t="shared" si="5"/>
        <v>27450</v>
      </c>
      <c r="J107" s="33" t="s">
        <v>129</v>
      </c>
      <c r="K107" s="38">
        <f>IF(OR(B107="",D107=""),"",IFERROR(B107+VLOOKUP(D107,Masters!$A$5:$E$16,5,FALSE()),""))</f>
        <v>46197</v>
      </c>
      <c r="L107" s="13">
        <v>46197</v>
      </c>
      <c r="M107" s="33" t="s">
        <v>104</v>
      </c>
      <c r="N107" s="34">
        <f t="shared" si="6"/>
        <v>0</v>
      </c>
      <c r="O107" s="34" t="str">
        <f t="shared" si="7"/>
        <v>Yes</v>
      </c>
      <c r="P107" s="39">
        <f t="shared" si="8"/>
        <v>46174</v>
      </c>
      <c r="Q107" s="34" t="str">
        <f t="shared" si="9"/>
        <v>OK</v>
      </c>
    </row>
    <row r="108" spans="1:17" x14ac:dyDescent="0.3">
      <c r="A108" s="33" t="s">
        <v>257</v>
      </c>
      <c r="B108" s="13">
        <v>46194</v>
      </c>
      <c r="C108" s="33" t="s">
        <v>142</v>
      </c>
      <c r="D108" s="33" t="s">
        <v>184</v>
      </c>
      <c r="E108" s="34" t="str">
        <f>IFERROR(VLOOKUP(D108,Masters!$A$5:$E$16,2,FALSE()),"")</f>
        <v>Delhi</v>
      </c>
      <c r="F108" s="34" t="str">
        <f>IFERROR(VLOOKUP(D108,Masters!$A$5:$E$16,3,FALSE()),"")</f>
        <v>Agra</v>
      </c>
      <c r="G108" s="35">
        <v>5390</v>
      </c>
      <c r="H108" s="36">
        <f>IFERROR(INDEX(Masters!$D$5:$D$16,MATCH(D108,Masters!$A$5:$A$16,0)),"")</f>
        <v>2.8</v>
      </c>
      <c r="I108" s="37">
        <f t="shared" si="5"/>
        <v>15091.999999999998</v>
      </c>
      <c r="J108" s="33" t="s">
        <v>136</v>
      </c>
      <c r="K108" s="38">
        <f>IF(OR(B108="",D108=""),"",IFERROR(B108+VLOOKUP(D108,Masters!$A$5:$E$16,5,FALSE()),""))</f>
        <v>46196</v>
      </c>
      <c r="L108" s="13">
        <v>46196</v>
      </c>
      <c r="M108" s="33" t="s">
        <v>104</v>
      </c>
      <c r="N108" s="34">
        <f t="shared" si="6"/>
        <v>0</v>
      </c>
      <c r="O108" s="34" t="str">
        <f t="shared" si="7"/>
        <v>Yes</v>
      </c>
      <c r="P108" s="39">
        <f t="shared" si="8"/>
        <v>46174</v>
      </c>
      <c r="Q108" s="34" t="str">
        <f t="shared" si="9"/>
        <v>OK</v>
      </c>
    </row>
    <row r="109" spans="1:17" x14ac:dyDescent="0.3">
      <c r="A109" s="33" t="s">
        <v>258</v>
      </c>
      <c r="B109" s="13">
        <v>46194</v>
      </c>
      <c r="C109" s="33" t="s">
        <v>146</v>
      </c>
      <c r="D109" s="33" t="s">
        <v>138</v>
      </c>
      <c r="E109" s="34" t="str">
        <f>IFERROR(VLOOKUP(D109,Masters!$A$5:$E$16,2,FALSE()),"")</f>
        <v>Delhi</v>
      </c>
      <c r="F109" s="34" t="str">
        <f>IFERROR(VLOOKUP(D109,Masters!$A$5:$E$16,3,FALSE()),"")</f>
        <v>Kolkata</v>
      </c>
      <c r="G109" s="35">
        <v>6740</v>
      </c>
      <c r="H109" s="36">
        <f>IFERROR(INDEX(Masters!$D$5:$D$16,MATCH(D109,Masters!$A$5:$A$16,0)),"")</f>
        <v>12</v>
      </c>
      <c r="I109" s="37">
        <f t="shared" si="5"/>
        <v>80880</v>
      </c>
      <c r="J109" s="33" t="s">
        <v>136</v>
      </c>
      <c r="K109" s="38">
        <f>IF(OR(B109="",D109=""),"",IFERROR(B109+VLOOKUP(D109,Masters!$A$5:$E$16,5,FALSE()),""))</f>
        <v>46201</v>
      </c>
      <c r="L109" s="13">
        <v>46200</v>
      </c>
      <c r="M109" s="33" t="s">
        <v>104</v>
      </c>
      <c r="N109" s="34">
        <f t="shared" si="6"/>
        <v>0</v>
      </c>
      <c r="O109" s="34" t="str">
        <f t="shared" si="7"/>
        <v>Yes</v>
      </c>
      <c r="P109" s="39">
        <f t="shared" si="8"/>
        <v>46174</v>
      </c>
      <c r="Q109" s="34" t="str">
        <f t="shared" si="9"/>
        <v>OK</v>
      </c>
    </row>
    <row r="110" spans="1:17" x14ac:dyDescent="0.3">
      <c r="A110" s="33" t="s">
        <v>259</v>
      </c>
      <c r="B110" s="13">
        <v>46194</v>
      </c>
      <c r="C110" s="33" t="s">
        <v>142</v>
      </c>
      <c r="D110" s="33" t="s">
        <v>128</v>
      </c>
      <c r="E110" s="34" t="str">
        <f>IFERROR(VLOOKUP(D110,Masters!$A$5:$E$16,2,FALSE()),"")</f>
        <v>Ghaziabad</v>
      </c>
      <c r="F110" s="34" t="str">
        <f>IFERROR(VLOOKUP(D110,Masters!$A$5:$E$16,3,FALSE()),"")</f>
        <v>Meerut</v>
      </c>
      <c r="G110" s="35">
        <v>11150</v>
      </c>
      <c r="H110" s="36">
        <f>IFERROR(INDEX(Masters!$D$5:$D$16,MATCH(D110,Masters!$A$5:$A$16,0)),"")</f>
        <v>1.8</v>
      </c>
      <c r="I110" s="37">
        <f t="shared" si="5"/>
        <v>20070</v>
      </c>
      <c r="J110" s="33" t="s">
        <v>157</v>
      </c>
      <c r="K110" s="38">
        <f>IF(OR(B110="",D110=""),"",IFERROR(B110+VLOOKUP(D110,Masters!$A$5:$E$16,5,FALSE()),""))</f>
        <v>46195</v>
      </c>
      <c r="L110" s="13">
        <v>46195</v>
      </c>
      <c r="M110" s="33" t="s">
        <v>104</v>
      </c>
      <c r="N110" s="34">
        <f t="shared" si="6"/>
        <v>0</v>
      </c>
      <c r="O110" s="34" t="str">
        <f t="shared" si="7"/>
        <v>Yes</v>
      </c>
      <c r="P110" s="39">
        <f t="shared" si="8"/>
        <v>46174</v>
      </c>
      <c r="Q110" s="34" t="str">
        <f t="shared" si="9"/>
        <v>OK</v>
      </c>
    </row>
    <row r="111" spans="1:17" x14ac:dyDescent="0.3">
      <c r="A111" s="33" t="s">
        <v>260</v>
      </c>
      <c r="B111" s="13">
        <v>46195</v>
      </c>
      <c r="C111" s="33" t="s">
        <v>146</v>
      </c>
      <c r="D111" s="33" t="s">
        <v>128</v>
      </c>
      <c r="E111" s="34" t="str">
        <f>IFERROR(VLOOKUP(D111,Masters!$A$5:$E$16,2,FALSE()),"")</f>
        <v>Ghaziabad</v>
      </c>
      <c r="F111" s="34" t="str">
        <f>IFERROR(VLOOKUP(D111,Masters!$A$5:$E$16,3,FALSE()),"")</f>
        <v>Meerut</v>
      </c>
      <c r="G111" s="35">
        <v>2400</v>
      </c>
      <c r="H111" s="36">
        <f>IFERROR(INDEX(Masters!$D$5:$D$16,MATCH(D111,Masters!$A$5:$A$16,0)),"")</f>
        <v>1.8</v>
      </c>
      <c r="I111" s="37">
        <f t="shared" si="5"/>
        <v>4320</v>
      </c>
      <c r="J111" s="33" t="s">
        <v>144</v>
      </c>
      <c r="K111" s="38">
        <f>IF(OR(B111="",D111=""),"",IFERROR(B111+VLOOKUP(D111,Masters!$A$5:$E$16,5,FALSE()),""))</f>
        <v>46196</v>
      </c>
      <c r="L111" s="13">
        <v>46196</v>
      </c>
      <c r="M111" s="33" t="s">
        <v>104</v>
      </c>
      <c r="N111" s="34">
        <f t="shared" si="6"/>
        <v>0</v>
      </c>
      <c r="O111" s="34" t="str">
        <f t="shared" si="7"/>
        <v>Yes</v>
      </c>
      <c r="P111" s="39">
        <f t="shared" si="8"/>
        <v>46174</v>
      </c>
      <c r="Q111" s="34" t="str">
        <f t="shared" si="9"/>
        <v>OK</v>
      </c>
    </row>
    <row r="112" spans="1:17" x14ac:dyDescent="0.3">
      <c r="A112" s="33" t="s">
        <v>261</v>
      </c>
      <c r="B112" s="13">
        <v>46195</v>
      </c>
      <c r="C112" s="33" t="s">
        <v>151</v>
      </c>
      <c r="D112" s="33" t="s">
        <v>135</v>
      </c>
      <c r="E112" s="34" t="str">
        <f>IFERROR(VLOOKUP(D112,Masters!$A$5:$E$16,2,FALSE()),"")</f>
        <v>Delhi</v>
      </c>
      <c r="F112" s="34" t="str">
        <f>IFERROR(VLOOKUP(D112,Masters!$A$5:$E$16,3,FALSE()),"")</f>
        <v>Lucknow</v>
      </c>
      <c r="G112" s="35">
        <v>2960</v>
      </c>
      <c r="H112" s="36">
        <f>IFERROR(INDEX(Masters!$D$5:$D$16,MATCH(D112,Masters!$A$5:$A$16,0)),"")</f>
        <v>5.2</v>
      </c>
      <c r="I112" s="37">
        <f t="shared" si="5"/>
        <v>15392</v>
      </c>
      <c r="J112" s="33" t="s">
        <v>129</v>
      </c>
      <c r="K112" s="38">
        <f>IF(OR(B112="",D112=""),"",IFERROR(B112+VLOOKUP(D112,Masters!$A$5:$E$16,5,FALSE()),""))</f>
        <v>46198</v>
      </c>
      <c r="L112" s="13">
        <v>46198</v>
      </c>
      <c r="M112" s="33" t="s">
        <v>104</v>
      </c>
      <c r="N112" s="34">
        <f t="shared" si="6"/>
        <v>0</v>
      </c>
      <c r="O112" s="34" t="str">
        <f t="shared" si="7"/>
        <v>Yes</v>
      </c>
      <c r="P112" s="39">
        <f t="shared" si="8"/>
        <v>46174</v>
      </c>
      <c r="Q112" s="34" t="str">
        <f t="shared" si="9"/>
        <v>OK</v>
      </c>
    </row>
    <row r="113" spans="1:17" x14ac:dyDescent="0.3">
      <c r="A113" s="33" t="s">
        <v>262</v>
      </c>
      <c r="B113" s="13">
        <v>46198</v>
      </c>
      <c r="C113" s="33" t="s">
        <v>127</v>
      </c>
      <c r="D113" s="33" t="s">
        <v>128</v>
      </c>
      <c r="E113" s="34" t="str">
        <f>IFERROR(VLOOKUP(D113,Masters!$A$5:$E$16,2,FALSE()),"")</f>
        <v>Ghaziabad</v>
      </c>
      <c r="F113" s="34" t="str">
        <f>IFERROR(VLOOKUP(D113,Masters!$A$5:$E$16,3,FALSE()),"")</f>
        <v>Meerut</v>
      </c>
      <c r="G113" s="35">
        <v>11050</v>
      </c>
      <c r="H113" s="36">
        <f>IFERROR(INDEX(Masters!$D$5:$D$16,MATCH(D113,Masters!$A$5:$A$16,0)),"")</f>
        <v>1.8</v>
      </c>
      <c r="I113" s="37">
        <f t="shared" si="5"/>
        <v>19890</v>
      </c>
      <c r="J113" s="33" t="s">
        <v>157</v>
      </c>
      <c r="K113" s="38">
        <f>IF(OR(B113="",D113=""),"",IFERROR(B113+VLOOKUP(D113,Masters!$A$5:$E$16,5,FALSE()),""))</f>
        <v>46199</v>
      </c>
      <c r="L113" s="13">
        <v>46199</v>
      </c>
      <c r="M113" s="33" t="s">
        <v>104</v>
      </c>
      <c r="N113" s="34">
        <f t="shared" si="6"/>
        <v>0</v>
      </c>
      <c r="O113" s="34" t="str">
        <f t="shared" si="7"/>
        <v>Yes</v>
      </c>
      <c r="P113" s="39">
        <f t="shared" si="8"/>
        <v>46174</v>
      </c>
      <c r="Q113" s="34" t="str">
        <f t="shared" si="9"/>
        <v>OK</v>
      </c>
    </row>
    <row r="114" spans="1:17" x14ac:dyDescent="0.3">
      <c r="A114" s="33" t="s">
        <v>263</v>
      </c>
      <c r="B114" s="13">
        <v>46199</v>
      </c>
      <c r="C114" s="33" t="s">
        <v>156</v>
      </c>
      <c r="D114" s="33" t="s">
        <v>128</v>
      </c>
      <c r="E114" s="34" t="str">
        <f>IFERROR(VLOOKUP(D114,Masters!$A$5:$E$16,2,FALSE()),"")</f>
        <v>Ghaziabad</v>
      </c>
      <c r="F114" s="34" t="str">
        <f>IFERROR(VLOOKUP(D114,Masters!$A$5:$E$16,3,FALSE()),"")</f>
        <v>Meerut</v>
      </c>
      <c r="G114" s="35">
        <v>7430</v>
      </c>
      <c r="H114" s="36">
        <f>IFERROR(INDEX(Masters!$D$5:$D$16,MATCH(D114,Masters!$A$5:$A$16,0)),"")</f>
        <v>1.8</v>
      </c>
      <c r="I114" s="37">
        <f t="shared" si="5"/>
        <v>13374</v>
      </c>
      <c r="J114" s="33" t="s">
        <v>136</v>
      </c>
      <c r="K114" s="38">
        <f>IF(OR(B114="",D114=""),"",IFERROR(B114+VLOOKUP(D114,Masters!$A$5:$E$16,5,FALSE()),""))</f>
        <v>46200</v>
      </c>
      <c r="L114" s="13">
        <v>46203</v>
      </c>
      <c r="M114" s="33" t="s">
        <v>104</v>
      </c>
      <c r="N114" s="34">
        <f t="shared" si="6"/>
        <v>3</v>
      </c>
      <c r="O114" s="34" t="str">
        <f t="shared" si="7"/>
        <v>No</v>
      </c>
      <c r="P114" s="39">
        <f t="shared" si="8"/>
        <v>46174</v>
      </c>
      <c r="Q114" s="34" t="str">
        <f t="shared" si="9"/>
        <v>OK</v>
      </c>
    </row>
    <row r="115" spans="1:17" x14ac:dyDescent="0.3">
      <c r="A115" s="33" t="s">
        <v>264</v>
      </c>
      <c r="B115" s="13">
        <v>46200</v>
      </c>
      <c r="C115" s="33" t="s">
        <v>171</v>
      </c>
      <c r="D115" s="33" t="s">
        <v>154</v>
      </c>
      <c r="E115" s="34" t="str">
        <f>IFERROR(VLOOKUP(D115,Masters!$A$5:$E$16,2,FALSE()),"")</f>
        <v>Delhi</v>
      </c>
      <c r="F115" s="34" t="str">
        <f>IFERROR(VLOOKUP(D115,Masters!$A$5:$E$16,3,FALSE()),"")</f>
        <v>Bhopal</v>
      </c>
      <c r="G115" s="35">
        <v>7290</v>
      </c>
      <c r="H115" s="36">
        <f>IFERROR(INDEX(Masters!$D$5:$D$16,MATCH(D115,Masters!$A$5:$A$16,0)),"")</f>
        <v>8</v>
      </c>
      <c r="I115" s="37">
        <f t="shared" si="5"/>
        <v>58320</v>
      </c>
      <c r="J115" s="33" t="s">
        <v>136</v>
      </c>
      <c r="K115" s="38">
        <f>IF(OR(B115="",D115=""),"",IFERROR(B115+VLOOKUP(D115,Masters!$A$5:$E$16,5,FALSE()),""))</f>
        <v>46205</v>
      </c>
      <c r="L115" s="13">
        <v>46205</v>
      </c>
      <c r="M115" s="33" t="s">
        <v>104</v>
      </c>
      <c r="N115" s="34">
        <f t="shared" si="6"/>
        <v>0</v>
      </c>
      <c r="O115" s="34" t="str">
        <f t="shared" si="7"/>
        <v>Yes</v>
      </c>
      <c r="P115" s="39">
        <f t="shared" si="8"/>
        <v>46174</v>
      </c>
      <c r="Q115" s="34" t="str">
        <f t="shared" si="9"/>
        <v>OK</v>
      </c>
    </row>
    <row r="116" spans="1:17" x14ac:dyDescent="0.3">
      <c r="A116" s="33" t="s">
        <v>265</v>
      </c>
      <c r="B116" s="13">
        <v>46200</v>
      </c>
      <c r="C116" s="33" t="s">
        <v>146</v>
      </c>
      <c r="D116" s="33" t="s">
        <v>152</v>
      </c>
      <c r="E116" s="34" t="str">
        <f>IFERROR(VLOOKUP(D116,Masters!$A$5:$E$16,2,FALSE()),"")</f>
        <v>Delhi</v>
      </c>
      <c r="F116" s="34" t="str">
        <f>IFERROR(VLOOKUP(D116,Masters!$A$5:$E$16,3,FALSE()),"")</f>
        <v>Dehradun</v>
      </c>
      <c r="G116" s="35">
        <v>3400</v>
      </c>
      <c r="H116" s="36">
        <f>IFERROR(INDEX(Masters!$D$5:$D$16,MATCH(D116,Masters!$A$5:$A$16,0)),"")</f>
        <v>4</v>
      </c>
      <c r="I116" s="37">
        <f t="shared" si="5"/>
        <v>13600</v>
      </c>
      <c r="J116" s="33" t="s">
        <v>129</v>
      </c>
      <c r="K116" s="38">
        <f>IF(OR(B116="",D116=""),"",IFERROR(B116+VLOOKUP(D116,Masters!$A$5:$E$16,5,FALSE()),""))</f>
        <v>46202</v>
      </c>
      <c r="L116" s="13">
        <v>46202</v>
      </c>
      <c r="M116" s="33" t="s">
        <v>104</v>
      </c>
      <c r="N116" s="34">
        <f t="shared" si="6"/>
        <v>0</v>
      </c>
      <c r="O116" s="34" t="str">
        <f t="shared" si="7"/>
        <v>Yes</v>
      </c>
      <c r="P116" s="39">
        <f t="shared" si="8"/>
        <v>46174</v>
      </c>
      <c r="Q116" s="34" t="str">
        <f t="shared" si="9"/>
        <v>OK</v>
      </c>
    </row>
    <row r="117" spans="1:17" x14ac:dyDescent="0.3">
      <c r="A117" s="33" t="s">
        <v>266</v>
      </c>
      <c r="B117" s="13">
        <v>46200</v>
      </c>
      <c r="C117" s="33" t="s">
        <v>167</v>
      </c>
      <c r="D117" s="33" t="s">
        <v>138</v>
      </c>
      <c r="E117" s="34" t="str">
        <f>IFERROR(VLOOKUP(D117,Masters!$A$5:$E$16,2,FALSE()),"")</f>
        <v>Delhi</v>
      </c>
      <c r="F117" s="34" t="str">
        <f>IFERROR(VLOOKUP(D117,Masters!$A$5:$E$16,3,FALSE()),"")</f>
        <v>Kolkata</v>
      </c>
      <c r="G117" s="35">
        <v>7200</v>
      </c>
      <c r="H117" s="36">
        <f>IFERROR(INDEX(Masters!$D$5:$D$16,MATCH(D117,Masters!$A$5:$A$16,0)),"")</f>
        <v>12</v>
      </c>
      <c r="I117" s="37">
        <f t="shared" si="5"/>
        <v>86400</v>
      </c>
      <c r="J117" s="33" t="s">
        <v>136</v>
      </c>
      <c r="K117" s="38">
        <f>IF(OR(B117="",D117=""),"",IFERROR(B117+VLOOKUP(D117,Masters!$A$5:$E$16,5,FALSE()),""))</f>
        <v>46207</v>
      </c>
      <c r="L117" s="13">
        <v>46206</v>
      </c>
      <c r="M117" s="33" t="s">
        <v>104</v>
      </c>
      <c r="N117" s="34">
        <f t="shared" si="6"/>
        <v>0</v>
      </c>
      <c r="O117" s="34" t="str">
        <f t="shared" si="7"/>
        <v>Yes</v>
      </c>
      <c r="P117" s="39">
        <f t="shared" si="8"/>
        <v>46174</v>
      </c>
      <c r="Q117" s="34" t="str">
        <f t="shared" si="9"/>
        <v>OK</v>
      </c>
    </row>
    <row r="118" spans="1:17" x14ac:dyDescent="0.3">
      <c r="A118" s="33" t="s">
        <v>267</v>
      </c>
      <c r="B118" s="13">
        <v>46202</v>
      </c>
      <c r="C118" s="33" t="s">
        <v>151</v>
      </c>
      <c r="D118" s="33" t="s">
        <v>138</v>
      </c>
      <c r="E118" s="34" t="str">
        <f>IFERROR(VLOOKUP(D118,Masters!$A$5:$E$16,2,FALSE()),"")</f>
        <v>Delhi</v>
      </c>
      <c r="F118" s="34" t="str">
        <f>IFERROR(VLOOKUP(D118,Masters!$A$5:$E$16,3,FALSE()),"")</f>
        <v>Kolkata</v>
      </c>
      <c r="G118" s="35">
        <v>9670</v>
      </c>
      <c r="H118" s="36">
        <f>IFERROR(INDEX(Masters!$D$5:$D$16,MATCH(D118,Masters!$A$5:$A$16,0)),"")</f>
        <v>12</v>
      </c>
      <c r="I118" s="37">
        <f t="shared" si="5"/>
        <v>116040</v>
      </c>
      <c r="J118" s="33" t="s">
        <v>157</v>
      </c>
      <c r="K118" s="38">
        <f>IF(OR(B118="",D118=""),"",IFERROR(B118+VLOOKUP(D118,Masters!$A$5:$E$16,5,FALSE()),""))</f>
        <v>46209</v>
      </c>
      <c r="L118" s="13">
        <v>46211</v>
      </c>
      <c r="M118" s="33" t="s">
        <v>104</v>
      </c>
      <c r="N118" s="34">
        <f t="shared" si="6"/>
        <v>2</v>
      </c>
      <c r="O118" s="34" t="str">
        <f t="shared" si="7"/>
        <v>No</v>
      </c>
      <c r="P118" s="39">
        <f t="shared" si="8"/>
        <v>46174</v>
      </c>
      <c r="Q118" s="34" t="str">
        <f t="shared" si="9"/>
        <v>OK</v>
      </c>
    </row>
    <row r="119" spans="1:17" x14ac:dyDescent="0.3">
      <c r="A119" s="33" t="s">
        <v>268</v>
      </c>
      <c r="B119" s="13">
        <v>46202</v>
      </c>
      <c r="C119" s="33" t="s">
        <v>142</v>
      </c>
      <c r="D119" s="33" t="s">
        <v>161</v>
      </c>
      <c r="E119" s="34" t="str">
        <f>IFERROR(VLOOKUP(D119,Masters!$A$5:$E$16,2,FALSE()),"")</f>
        <v>Delhi</v>
      </c>
      <c r="F119" s="34" t="str">
        <f>IFERROR(VLOOKUP(D119,Masters!$A$5:$E$16,3,FALSE()),"")</f>
        <v>Chandigarh</v>
      </c>
      <c r="G119" s="35">
        <v>820</v>
      </c>
      <c r="H119" s="36">
        <f>IFERROR(INDEX(Masters!$D$5:$D$16,MATCH(D119,Masters!$A$5:$A$16,0)),"")</f>
        <v>3</v>
      </c>
      <c r="I119" s="37">
        <f t="shared" si="5"/>
        <v>2460</v>
      </c>
      <c r="J119" s="33" t="s">
        <v>133</v>
      </c>
      <c r="K119" s="38">
        <f>IF(OR(B119="",D119=""),"",IFERROR(B119+VLOOKUP(D119,Masters!$A$5:$E$16,5,FALSE()),""))</f>
        <v>46204</v>
      </c>
      <c r="L119" s="13">
        <v>46204</v>
      </c>
      <c r="M119" s="33" t="s">
        <v>104</v>
      </c>
      <c r="N119" s="34">
        <f t="shared" si="6"/>
        <v>0</v>
      </c>
      <c r="O119" s="34" t="str">
        <f t="shared" si="7"/>
        <v>Yes</v>
      </c>
      <c r="P119" s="39">
        <f t="shared" si="8"/>
        <v>46174</v>
      </c>
      <c r="Q119" s="34" t="str">
        <f t="shared" si="9"/>
        <v>OK</v>
      </c>
    </row>
    <row r="120" spans="1:17" x14ac:dyDescent="0.3">
      <c r="A120" s="33" t="s">
        <v>269</v>
      </c>
      <c r="B120" s="13">
        <v>46203</v>
      </c>
      <c r="C120" s="33" t="s">
        <v>151</v>
      </c>
      <c r="D120" s="33" t="s">
        <v>143</v>
      </c>
      <c r="E120" s="34" t="str">
        <f>IFERROR(VLOOKUP(D120,Masters!$A$5:$E$16,2,FALSE()),"")</f>
        <v>Delhi</v>
      </c>
      <c r="F120" s="34" t="str">
        <f>IFERROR(VLOOKUP(D120,Masters!$A$5:$E$16,3,FALSE()),"")</f>
        <v>Kanpur</v>
      </c>
      <c r="G120" s="35">
        <v>5680</v>
      </c>
      <c r="H120" s="36">
        <f>IFERROR(INDEX(Masters!$D$5:$D$16,MATCH(D120,Masters!$A$5:$A$16,0)),"")</f>
        <v>4.5</v>
      </c>
      <c r="I120" s="37">
        <f t="shared" si="5"/>
        <v>25560</v>
      </c>
      <c r="J120" s="33" t="s">
        <v>136</v>
      </c>
      <c r="K120" s="38">
        <f>IF(OR(B120="",D120=""),"",IFERROR(B120+VLOOKUP(D120,Masters!$A$5:$E$16,5,FALSE()),""))</f>
        <v>46206</v>
      </c>
      <c r="L120" s="13">
        <v>46206</v>
      </c>
      <c r="M120" s="33" t="s">
        <v>104</v>
      </c>
      <c r="N120" s="34">
        <f t="shared" si="6"/>
        <v>0</v>
      </c>
      <c r="O120" s="34" t="str">
        <f t="shared" si="7"/>
        <v>Yes</v>
      </c>
      <c r="P120" s="39">
        <f t="shared" si="8"/>
        <v>46174</v>
      </c>
      <c r="Q120" s="34" t="str">
        <f t="shared" si="9"/>
        <v>OK</v>
      </c>
    </row>
    <row r="121" spans="1:17" x14ac:dyDescent="0.3">
      <c r="A121" s="33" t="s">
        <v>270</v>
      </c>
      <c r="B121" s="13">
        <v>46203</v>
      </c>
      <c r="C121" s="33" t="s">
        <v>156</v>
      </c>
      <c r="D121" s="33" t="s">
        <v>128</v>
      </c>
      <c r="E121" s="34" t="str">
        <f>IFERROR(VLOOKUP(D121,Masters!$A$5:$E$16,2,FALSE()),"")</f>
        <v>Ghaziabad</v>
      </c>
      <c r="F121" s="34" t="str">
        <f>IFERROR(VLOOKUP(D121,Masters!$A$5:$E$16,3,FALSE()),"")</f>
        <v>Meerut</v>
      </c>
      <c r="G121" s="35">
        <v>6130</v>
      </c>
      <c r="H121" s="36">
        <f>IFERROR(INDEX(Masters!$D$5:$D$16,MATCH(D121,Masters!$A$5:$A$16,0)),"")</f>
        <v>1.8</v>
      </c>
      <c r="I121" s="37">
        <f t="shared" si="5"/>
        <v>11034</v>
      </c>
      <c r="J121" s="33" t="s">
        <v>136</v>
      </c>
      <c r="K121" s="38">
        <f>IF(OR(B121="",D121=""),"",IFERROR(B121+VLOOKUP(D121,Masters!$A$5:$E$16,5,FALSE()),""))</f>
        <v>46204</v>
      </c>
      <c r="L121" s="13">
        <v>46203</v>
      </c>
      <c r="M121" s="33" t="s">
        <v>104</v>
      </c>
      <c r="N121" s="34">
        <f t="shared" si="6"/>
        <v>0</v>
      </c>
      <c r="O121" s="34" t="str">
        <f t="shared" si="7"/>
        <v>Yes</v>
      </c>
      <c r="P121" s="39">
        <f t="shared" si="8"/>
        <v>46174</v>
      </c>
      <c r="Q121" s="34" t="str">
        <f t="shared" si="9"/>
        <v>OK</v>
      </c>
    </row>
    <row r="122" spans="1:17" x14ac:dyDescent="0.3">
      <c r="A122" s="33" t="s">
        <v>271</v>
      </c>
      <c r="B122" s="13">
        <v>46204</v>
      </c>
      <c r="C122" s="33" t="s">
        <v>151</v>
      </c>
      <c r="D122" s="33" t="s">
        <v>161</v>
      </c>
      <c r="E122" s="34" t="str">
        <f>IFERROR(VLOOKUP(D122,Masters!$A$5:$E$16,2,FALSE()),"")</f>
        <v>Delhi</v>
      </c>
      <c r="F122" s="34" t="str">
        <f>IFERROR(VLOOKUP(D122,Masters!$A$5:$E$16,3,FALSE()),"")</f>
        <v>Chandigarh</v>
      </c>
      <c r="G122" s="35">
        <v>4700</v>
      </c>
      <c r="H122" s="36">
        <f>IFERROR(INDEX(Masters!$D$5:$D$16,MATCH(D122,Masters!$A$5:$A$16,0)),"")</f>
        <v>3</v>
      </c>
      <c r="I122" s="37">
        <f t="shared" si="5"/>
        <v>14100</v>
      </c>
      <c r="J122" s="33" t="s">
        <v>129</v>
      </c>
      <c r="K122" s="38">
        <f>IF(OR(B122="",D122=""),"",IFERROR(B122+VLOOKUP(D122,Masters!$A$5:$E$16,5,FALSE()),""))</f>
        <v>46206</v>
      </c>
      <c r="L122" s="13">
        <v>46205</v>
      </c>
      <c r="M122" s="33" t="s">
        <v>104</v>
      </c>
      <c r="N122" s="34">
        <f t="shared" si="6"/>
        <v>0</v>
      </c>
      <c r="O122" s="34" t="str">
        <f t="shared" si="7"/>
        <v>Yes</v>
      </c>
      <c r="P122" s="39">
        <f t="shared" si="8"/>
        <v>46204</v>
      </c>
      <c r="Q122" s="34" t="str">
        <f t="shared" si="9"/>
        <v>OK</v>
      </c>
    </row>
    <row r="123" spans="1:17" x14ac:dyDescent="0.3">
      <c r="A123" s="33" t="s">
        <v>272</v>
      </c>
      <c r="B123" s="13">
        <v>46204</v>
      </c>
      <c r="C123" s="33" t="s">
        <v>151</v>
      </c>
      <c r="D123" s="33" t="s">
        <v>135</v>
      </c>
      <c r="E123" s="34" t="str">
        <f>IFERROR(VLOOKUP(D123,Masters!$A$5:$E$16,2,FALSE()),"")</f>
        <v>Delhi</v>
      </c>
      <c r="F123" s="34" t="str">
        <f>IFERROR(VLOOKUP(D123,Masters!$A$5:$E$16,3,FALSE()),"")</f>
        <v>Lucknow</v>
      </c>
      <c r="G123" s="35">
        <v>3720</v>
      </c>
      <c r="H123" s="36">
        <f>IFERROR(INDEX(Masters!$D$5:$D$16,MATCH(D123,Masters!$A$5:$A$16,0)),"")</f>
        <v>5.2</v>
      </c>
      <c r="I123" s="37">
        <f t="shared" si="5"/>
        <v>19344</v>
      </c>
      <c r="J123" s="33" t="s">
        <v>129</v>
      </c>
      <c r="K123" s="38">
        <f>IF(OR(B123="",D123=""),"",IFERROR(B123+VLOOKUP(D123,Masters!$A$5:$E$16,5,FALSE()),""))</f>
        <v>46207</v>
      </c>
      <c r="L123" s="13">
        <v>46207</v>
      </c>
      <c r="M123" s="33" t="s">
        <v>104</v>
      </c>
      <c r="N123" s="34">
        <f t="shared" si="6"/>
        <v>0</v>
      </c>
      <c r="O123" s="34" t="str">
        <f t="shared" si="7"/>
        <v>Yes</v>
      </c>
      <c r="P123" s="39">
        <f t="shared" si="8"/>
        <v>46204</v>
      </c>
      <c r="Q123" s="34" t="str">
        <f t="shared" si="9"/>
        <v>OK</v>
      </c>
    </row>
    <row r="124" spans="1:17" x14ac:dyDescent="0.3">
      <c r="A124" s="33" t="s">
        <v>273</v>
      </c>
      <c r="B124" s="13">
        <v>46204</v>
      </c>
      <c r="C124" s="33" t="s">
        <v>127</v>
      </c>
      <c r="D124" s="33" t="s">
        <v>143</v>
      </c>
      <c r="E124" s="34" t="str">
        <f>IFERROR(VLOOKUP(D124,Masters!$A$5:$E$16,2,FALSE()),"")</f>
        <v>Delhi</v>
      </c>
      <c r="F124" s="34" t="str">
        <f>IFERROR(VLOOKUP(D124,Masters!$A$5:$E$16,3,FALSE()),"")</f>
        <v>Kanpur</v>
      </c>
      <c r="G124" s="35">
        <v>2800</v>
      </c>
      <c r="H124" s="36">
        <f>IFERROR(INDEX(Masters!$D$5:$D$16,MATCH(D124,Masters!$A$5:$A$16,0)),"")</f>
        <v>4.5</v>
      </c>
      <c r="I124" s="37">
        <f t="shared" si="5"/>
        <v>12600</v>
      </c>
      <c r="J124" s="33" t="s">
        <v>129</v>
      </c>
      <c r="K124" s="38">
        <f>IF(OR(B124="",D124=""),"",IFERROR(B124+VLOOKUP(D124,Masters!$A$5:$E$16,5,FALSE()),""))</f>
        <v>46207</v>
      </c>
      <c r="L124" s="13">
        <v>46207</v>
      </c>
      <c r="M124" s="33" t="s">
        <v>104</v>
      </c>
      <c r="N124" s="34">
        <f t="shared" si="6"/>
        <v>0</v>
      </c>
      <c r="O124" s="34" t="str">
        <f t="shared" si="7"/>
        <v>Yes</v>
      </c>
      <c r="P124" s="39">
        <f t="shared" si="8"/>
        <v>46204</v>
      </c>
      <c r="Q124" s="34" t="str">
        <f t="shared" si="9"/>
        <v>OK</v>
      </c>
    </row>
    <row r="125" spans="1:17" x14ac:dyDescent="0.3">
      <c r="A125" s="33" t="s">
        <v>274</v>
      </c>
      <c r="B125" s="13">
        <v>46204</v>
      </c>
      <c r="C125" s="33" t="s">
        <v>171</v>
      </c>
      <c r="D125" s="33" t="s">
        <v>140</v>
      </c>
      <c r="E125" s="34" t="str">
        <f>IFERROR(VLOOKUP(D125,Masters!$A$5:$E$16,2,FALSE()),"")</f>
        <v>Delhi</v>
      </c>
      <c r="F125" s="34" t="str">
        <f>IFERROR(VLOOKUP(D125,Masters!$A$5:$E$16,3,FALSE()),"")</f>
        <v>Mumbai</v>
      </c>
      <c r="G125" s="35">
        <v>2620</v>
      </c>
      <c r="H125" s="36">
        <f>IFERROR(INDEX(Masters!$D$5:$D$16,MATCH(D125,Masters!$A$5:$A$16,0)),"")</f>
        <v>9.5</v>
      </c>
      <c r="I125" s="37">
        <f t="shared" si="5"/>
        <v>24890</v>
      </c>
      <c r="J125" s="33" t="s">
        <v>129</v>
      </c>
      <c r="K125" s="38">
        <f>IF(OR(B125="",D125=""),"",IFERROR(B125+VLOOKUP(D125,Masters!$A$5:$E$16,5,FALSE()),""))</f>
        <v>46210</v>
      </c>
      <c r="L125" s="13">
        <v>46211</v>
      </c>
      <c r="M125" s="33" t="s">
        <v>104</v>
      </c>
      <c r="N125" s="34">
        <f t="shared" si="6"/>
        <v>1</v>
      </c>
      <c r="O125" s="34" t="str">
        <f t="shared" si="7"/>
        <v>No</v>
      </c>
      <c r="P125" s="39">
        <f t="shared" si="8"/>
        <v>46204</v>
      </c>
      <c r="Q125" s="34" t="str">
        <f t="shared" si="9"/>
        <v>OK</v>
      </c>
    </row>
    <row r="126" spans="1:17" x14ac:dyDescent="0.3">
      <c r="A126" s="33" t="s">
        <v>275</v>
      </c>
      <c r="B126" s="13">
        <v>46204</v>
      </c>
      <c r="C126" s="33" t="s">
        <v>180</v>
      </c>
      <c r="D126" s="33" t="s">
        <v>159</v>
      </c>
      <c r="E126" s="34" t="str">
        <f>IFERROR(VLOOKUP(D126,Masters!$A$5:$E$16,2,FALSE()),"")</f>
        <v>Delhi</v>
      </c>
      <c r="F126" s="34" t="str">
        <f>IFERROR(VLOOKUP(D126,Masters!$A$5:$E$16,3,FALSE()),"")</f>
        <v>Jaipur</v>
      </c>
      <c r="G126" s="35">
        <v>5360</v>
      </c>
      <c r="H126" s="36">
        <f>IFERROR(INDEX(Masters!$D$5:$D$16,MATCH(D126,Masters!$A$5:$A$16,0)),"")</f>
        <v>3.5</v>
      </c>
      <c r="I126" s="37">
        <f t="shared" si="5"/>
        <v>18760</v>
      </c>
      <c r="J126" s="33" t="s">
        <v>136</v>
      </c>
      <c r="K126" s="38">
        <f>IF(OR(B126="",D126=""),"",IFERROR(B126+VLOOKUP(D126,Masters!$A$5:$E$16,5,FALSE()),""))</f>
        <v>46206</v>
      </c>
      <c r="L126" s="13">
        <v>46206</v>
      </c>
      <c r="M126" s="33" t="s">
        <v>104</v>
      </c>
      <c r="N126" s="34">
        <f t="shared" si="6"/>
        <v>0</v>
      </c>
      <c r="O126" s="34" t="str">
        <f t="shared" si="7"/>
        <v>Yes</v>
      </c>
      <c r="P126" s="39">
        <f t="shared" si="8"/>
        <v>46204</v>
      </c>
      <c r="Q126" s="34" t="str">
        <f t="shared" si="9"/>
        <v>OK</v>
      </c>
    </row>
    <row r="127" spans="1:17" x14ac:dyDescent="0.3">
      <c r="A127" s="33" t="s">
        <v>276</v>
      </c>
      <c r="B127" s="13">
        <v>46205</v>
      </c>
      <c r="C127" s="33" t="s">
        <v>151</v>
      </c>
      <c r="D127" s="33" t="s">
        <v>159</v>
      </c>
      <c r="E127" s="34" t="str">
        <f>IFERROR(VLOOKUP(D127,Masters!$A$5:$E$16,2,FALSE()),"")</f>
        <v>Delhi</v>
      </c>
      <c r="F127" s="34" t="str">
        <f>IFERROR(VLOOKUP(D127,Masters!$A$5:$E$16,3,FALSE()),"")</f>
        <v>Jaipur</v>
      </c>
      <c r="G127" s="35">
        <v>4970</v>
      </c>
      <c r="H127" s="36">
        <f>IFERROR(INDEX(Masters!$D$5:$D$16,MATCH(D127,Masters!$A$5:$A$16,0)),"")</f>
        <v>3.5</v>
      </c>
      <c r="I127" s="37">
        <f t="shared" si="5"/>
        <v>17395</v>
      </c>
      <c r="J127" s="33" t="s">
        <v>129</v>
      </c>
      <c r="K127" s="38">
        <f>IF(OR(B127="",D127=""),"",IFERROR(B127+VLOOKUP(D127,Masters!$A$5:$E$16,5,FALSE()),""))</f>
        <v>46207</v>
      </c>
      <c r="L127" s="13">
        <v>46207</v>
      </c>
      <c r="M127" s="33" t="s">
        <v>104</v>
      </c>
      <c r="N127" s="34">
        <f t="shared" si="6"/>
        <v>0</v>
      </c>
      <c r="O127" s="34" t="str">
        <f t="shared" si="7"/>
        <v>Yes</v>
      </c>
      <c r="P127" s="39">
        <f t="shared" si="8"/>
        <v>46204</v>
      </c>
      <c r="Q127" s="34" t="str">
        <f t="shared" si="9"/>
        <v>OK</v>
      </c>
    </row>
    <row r="128" spans="1:17" x14ac:dyDescent="0.3">
      <c r="A128" s="33" t="s">
        <v>277</v>
      </c>
      <c r="B128" s="13">
        <v>46207</v>
      </c>
      <c r="C128" s="33" t="s">
        <v>131</v>
      </c>
      <c r="D128" s="33" t="s">
        <v>140</v>
      </c>
      <c r="E128" s="34" t="str">
        <f>IFERROR(VLOOKUP(D128,Masters!$A$5:$E$16,2,FALSE()),"")</f>
        <v>Delhi</v>
      </c>
      <c r="F128" s="34" t="str">
        <f>IFERROR(VLOOKUP(D128,Masters!$A$5:$E$16,3,FALSE()),"")</f>
        <v>Mumbai</v>
      </c>
      <c r="G128" s="35">
        <v>7680</v>
      </c>
      <c r="H128" s="36">
        <f>IFERROR(INDEX(Masters!$D$5:$D$16,MATCH(D128,Masters!$A$5:$A$16,0)),"")</f>
        <v>9.5</v>
      </c>
      <c r="I128" s="37">
        <f t="shared" si="5"/>
        <v>72960</v>
      </c>
      <c r="J128" s="33" t="s">
        <v>136</v>
      </c>
      <c r="K128" s="38">
        <f>IF(OR(B128="",D128=""),"",IFERROR(B128+VLOOKUP(D128,Masters!$A$5:$E$16,5,FALSE()),""))</f>
        <v>46213</v>
      </c>
      <c r="L128" s="13">
        <v>46212</v>
      </c>
      <c r="M128" s="33" t="s">
        <v>104</v>
      </c>
      <c r="N128" s="34">
        <f t="shared" si="6"/>
        <v>0</v>
      </c>
      <c r="O128" s="34" t="str">
        <f t="shared" si="7"/>
        <v>Yes</v>
      </c>
      <c r="P128" s="39">
        <f t="shared" si="8"/>
        <v>46204</v>
      </c>
      <c r="Q128" s="34" t="str">
        <f t="shared" si="9"/>
        <v>OK</v>
      </c>
    </row>
    <row r="129" spans="1:17" x14ac:dyDescent="0.3">
      <c r="A129" s="33" t="s">
        <v>278</v>
      </c>
      <c r="B129" s="13">
        <v>46207</v>
      </c>
      <c r="C129" s="33" t="s">
        <v>146</v>
      </c>
      <c r="D129" s="33" t="s">
        <v>140</v>
      </c>
      <c r="E129" s="34" t="str">
        <f>IFERROR(VLOOKUP(D129,Masters!$A$5:$E$16,2,FALSE()),"")</f>
        <v>Delhi</v>
      </c>
      <c r="F129" s="34" t="str">
        <f>IFERROR(VLOOKUP(D129,Masters!$A$5:$E$16,3,FALSE()),"")</f>
        <v>Mumbai</v>
      </c>
      <c r="G129" s="35">
        <v>9980</v>
      </c>
      <c r="H129" s="36">
        <f>IFERROR(INDEX(Masters!$D$5:$D$16,MATCH(D129,Masters!$A$5:$A$16,0)),"")</f>
        <v>9.5</v>
      </c>
      <c r="I129" s="37">
        <f t="shared" si="5"/>
        <v>94810</v>
      </c>
      <c r="J129" s="33" t="s">
        <v>157</v>
      </c>
      <c r="K129" s="38">
        <f>IF(OR(B129="",D129=""),"",IFERROR(B129+VLOOKUP(D129,Masters!$A$5:$E$16,5,FALSE()),""))</f>
        <v>46213</v>
      </c>
      <c r="L129" s="13">
        <v>46213</v>
      </c>
      <c r="M129" s="33" t="s">
        <v>104</v>
      </c>
      <c r="N129" s="34">
        <f t="shared" si="6"/>
        <v>0</v>
      </c>
      <c r="O129" s="34" t="str">
        <f t="shared" si="7"/>
        <v>Yes</v>
      </c>
      <c r="P129" s="39">
        <f t="shared" si="8"/>
        <v>46204</v>
      </c>
      <c r="Q129" s="34" t="str">
        <f t="shared" si="9"/>
        <v>OK</v>
      </c>
    </row>
    <row r="130" spans="1:17" x14ac:dyDescent="0.3">
      <c r="A130" s="33" t="s">
        <v>279</v>
      </c>
      <c r="B130" s="13">
        <v>46207</v>
      </c>
      <c r="C130" s="33" t="s">
        <v>142</v>
      </c>
      <c r="D130" s="33" t="s">
        <v>154</v>
      </c>
      <c r="E130" s="34" t="str">
        <f>IFERROR(VLOOKUP(D130,Masters!$A$5:$E$16,2,FALSE()),"")</f>
        <v>Delhi</v>
      </c>
      <c r="F130" s="34" t="str">
        <f>IFERROR(VLOOKUP(D130,Masters!$A$5:$E$16,3,FALSE()),"")</f>
        <v>Bhopal</v>
      </c>
      <c r="G130" s="35">
        <v>1460</v>
      </c>
      <c r="H130" s="36">
        <f>IFERROR(INDEX(Masters!$D$5:$D$16,MATCH(D130,Masters!$A$5:$A$16,0)),"")</f>
        <v>8</v>
      </c>
      <c r="I130" s="37">
        <f t="shared" ref="I130:I193" si="10">IF(OR(G130="",H130=""),"",G130*H130)</f>
        <v>11680</v>
      </c>
      <c r="J130" s="33" t="s">
        <v>144</v>
      </c>
      <c r="K130" s="38">
        <f>IF(OR(B130="",D130=""),"",IFERROR(B130+VLOOKUP(D130,Masters!$A$5:$E$16,5,FALSE()),""))</f>
        <v>46212</v>
      </c>
      <c r="L130" s="13">
        <v>46212</v>
      </c>
      <c r="M130" s="33" t="s">
        <v>104</v>
      </c>
      <c r="N130" s="34">
        <f t="shared" ref="N130:N193" si="11">IF(OR(L130="",K130=""),"",MAX(0,L130-K130))</f>
        <v>0</v>
      </c>
      <c r="O130" s="34" t="str">
        <f t="shared" ref="O130:O193" si="12">IF(M130="In Transit","Pending",IF(OR(L130="",K130=""),"",IF(L130&lt;=K130,"Yes","No")))</f>
        <v>Yes</v>
      </c>
      <c r="P130" s="39">
        <f t="shared" ref="P130:P193" si="13">IF(B130="","",DATE(YEAR(B130),MONTH(B130),1))</f>
        <v>46204</v>
      </c>
      <c r="Q130" s="34" t="str">
        <f t="shared" ref="Q130:Q193" si="14">IF(OR(A130="",B130="",C130="",D130="",G130=""),"Missing Field",IF(COUNTIF($A$2:$A$1000,A130)&gt;1,"Duplicate ID",IF(G130&lt;=0,"Invalid Weight",IF(AND(L130&lt;&gt;"",L130&lt;B130),"Delivery Before Ship Date",IF(AND(M130="Delivered",L130=""),"Delivered But No Date","OK")))))</f>
        <v>OK</v>
      </c>
    </row>
    <row r="131" spans="1:17" x14ac:dyDescent="0.3">
      <c r="A131" s="33" t="s">
        <v>280</v>
      </c>
      <c r="B131" s="13">
        <v>46208</v>
      </c>
      <c r="C131" s="33" t="s">
        <v>131</v>
      </c>
      <c r="D131" s="33" t="s">
        <v>152</v>
      </c>
      <c r="E131" s="34" t="str">
        <f>IFERROR(VLOOKUP(D131,Masters!$A$5:$E$16,2,FALSE()),"")</f>
        <v>Delhi</v>
      </c>
      <c r="F131" s="34" t="str">
        <f>IFERROR(VLOOKUP(D131,Masters!$A$5:$E$16,3,FALSE()),"")</f>
        <v>Dehradun</v>
      </c>
      <c r="G131" s="35">
        <v>5820</v>
      </c>
      <c r="H131" s="36">
        <f>IFERROR(INDEX(Masters!$D$5:$D$16,MATCH(D131,Masters!$A$5:$A$16,0)),"")</f>
        <v>4</v>
      </c>
      <c r="I131" s="37">
        <f t="shared" si="10"/>
        <v>23280</v>
      </c>
      <c r="J131" s="33" t="s">
        <v>136</v>
      </c>
      <c r="K131" s="38">
        <f>IF(OR(B131="",D131=""),"",IFERROR(B131+VLOOKUP(D131,Masters!$A$5:$E$16,5,FALSE()),""))</f>
        <v>46210</v>
      </c>
      <c r="L131" s="13">
        <v>46210</v>
      </c>
      <c r="M131" s="33" t="s">
        <v>104</v>
      </c>
      <c r="N131" s="34">
        <f t="shared" si="11"/>
        <v>0</v>
      </c>
      <c r="O131" s="34" t="str">
        <f t="shared" si="12"/>
        <v>Yes</v>
      </c>
      <c r="P131" s="39">
        <f t="shared" si="13"/>
        <v>46204</v>
      </c>
      <c r="Q131" s="34" t="str">
        <f t="shared" si="14"/>
        <v>OK</v>
      </c>
    </row>
    <row r="132" spans="1:17" x14ac:dyDescent="0.3">
      <c r="A132" s="33" t="s">
        <v>281</v>
      </c>
      <c r="B132" s="13">
        <v>46208</v>
      </c>
      <c r="C132" s="33" t="s">
        <v>127</v>
      </c>
      <c r="D132" s="33" t="s">
        <v>138</v>
      </c>
      <c r="E132" s="34" t="str">
        <f>IFERROR(VLOOKUP(D132,Masters!$A$5:$E$16,2,FALSE()),"")</f>
        <v>Delhi</v>
      </c>
      <c r="F132" s="34" t="str">
        <f>IFERROR(VLOOKUP(D132,Masters!$A$5:$E$16,3,FALSE()),"")</f>
        <v>Kolkata</v>
      </c>
      <c r="G132" s="35">
        <v>7460</v>
      </c>
      <c r="H132" s="36">
        <f>IFERROR(INDEX(Masters!$D$5:$D$16,MATCH(D132,Masters!$A$5:$A$16,0)),"")</f>
        <v>12</v>
      </c>
      <c r="I132" s="37">
        <f t="shared" si="10"/>
        <v>89520</v>
      </c>
      <c r="J132" s="33" t="s">
        <v>136</v>
      </c>
      <c r="K132" s="38">
        <f>IF(OR(B132="",D132=""),"",IFERROR(B132+VLOOKUP(D132,Masters!$A$5:$E$16,5,FALSE()),""))</f>
        <v>46215</v>
      </c>
      <c r="L132" s="13">
        <v>46215</v>
      </c>
      <c r="M132" s="33" t="s">
        <v>104</v>
      </c>
      <c r="N132" s="34">
        <f t="shared" si="11"/>
        <v>0</v>
      </c>
      <c r="O132" s="34" t="str">
        <f t="shared" si="12"/>
        <v>Yes</v>
      </c>
      <c r="P132" s="39">
        <f t="shared" si="13"/>
        <v>46204</v>
      </c>
      <c r="Q132" s="34" t="str">
        <f t="shared" si="14"/>
        <v>OK</v>
      </c>
    </row>
    <row r="133" spans="1:17" x14ac:dyDescent="0.3">
      <c r="A133" s="33" t="s">
        <v>282</v>
      </c>
      <c r="B133" s="13">
        <v>46209</v>
      </c>
      <c r="C133" s="33" t="s">
        <v>167</v>
      </c>
      <c r="D133" s="33" t="s">
        <v>128</v>
      </c>
      <c r="E133" s="34" t="str">
        <f>IFERROR(VLOOKUP(D133,Masters!$A$5:$E$16,2,FALSE()),"")</f>
        <v>Ghaziabad</v>
      </c>
      <c r="F133" s="34" t="str">
        <f>IFERROR(VLOOKUP(D133,Masters!$A$5:$E$16,3,FALSE()),"")</f>
        <v>Meerut</v>
      </c>
      <c r="G133" s="35">
        <v>7250</v>
      </c>
      <c r="H133" s="36">
        <f>IFERROR(INDEX(Masters!$D$5:$D$16,MATCH(D133,Masters!$A$5:$A$16,0)),"")</f>
        <v>1.8</v>
      </c>
      <c r="I133" s="37">
        <f t="shared" si="10"/>
        <v>13050</v>
      </c>
      <c r="J133" s="33" t="s">
        <v>136</v>
      </c>
      <c r="K133" s="38">
        <f>IF(OR(B133="",D133=""),"",IFERROR(B133+VLOOKUP(D133,Masters!$A$5:$E$16,5,FALSE()),""))</f>
        <v>46210</v>
      </c>
      <c r="L133" s="13">
        <v>46212</v>
      </c>
      <c r="M133" s="33" t="s">
        <v>104</v>
      </c>
      <c r="N133" s="34">
        <f t="shared" si="11"/>
        <v>2</v>
      </c>
      <c r="O133" s="34" t="str">
        <f t="shared" si="12"/>
        <v>No</v>
      </c>
      <c r="P133" s="39">
        <f t="shared" si="13"/>
        <v>46204</v>
      </c>
      <c r="Q133" s="34" t="str">
        <f t="shared" si="14"/>
        <v>OK</v>
      </c>
    </row>
    <row r="134" spans="1:17" x14ac:dyDescent="0.3">
      <c r="A134" s="33" t="s">
        <v>283</v>
      </c>
      <c r="B134" s="13">
        <v>46209</v>
      </c>
      <c r="C134" s="33" t="s">
        <v>127</v>
      </c>
      <c r="D134" s="33" t="s">
        <v>140</v>
      </c>
      <c r="E134" s="34" t="str">
        <f>IFERROR(VLOOKUP(D134,Masters!$A$5:$E$16,2,FALSE()),"")</f>
        <v>Delhi</v>
      </c>
      <c r="F134" s="34" t="str">
        <f>IFERROR(VLOOKUP(D134,Masters!$A$5:$E$16,3,FALSE()),"")</f>
        <v>Mumbai</v>
      </c>
      <c r="G134" s="35">
        <v>9610</v>
      </c>
      <c r="H134" s="36">
        <f>IFERROR(INDEX(Masters!$D$5:$D$16,MATCH(D134,Masters!$A$5:$A$16,0)),"")</f>
        <v>9.5</v>
      </c>
      <c r="I134" s="37">
        <f t="shared" si="10"/>
        <v>91295</v>
      </c>
      <c r="J134" s="33" t="s">
        <v>157</v>
      </c>
      <c r="K134" s="38">
        <f>IF(OR(B134="",D134=""),"",IFERROR(B134+VLOOKUP(D134,Masters!$A$5:$E$16,5,FALSE()),""))</f>
        <v>46215</v>
      </c>
      <c r="L134" s="13">
        <v>46215</v>
      </c>
      <c r="M134" s="33" t="s">
        <v>104</v>
      </c>
      <c r="N134" s="34">
        <f t="shared" si="11"/>
        <v>0</v>
      </c>
      <c r="O134" s="34" t="str">
        <f t="shared" si="12"/>
        <v>Yes</v>
      </c>
      <c r="P134" s="39">
        <f t="shared" si="13"/>
        <v>46204</v>
      </c>
      <c r="Q134" s="34" t="str">
        <f t="shared" si="14"/>
        <v>OK</v>
      </c>
    </row>
    <row r="135" spans="1:17" x14ac:dyDescent="0.3">
      <c r="A135" s="33" t="s">
        <v>284</v>
      </c>
      <c r="B135" s="13">
        <v>46209</v>
      </c>
      <c r="C135" s="33" t="s">
        <v>167</v>
      </c>
      <c r="D135" s="33" t="s">
        <v>135</v>
      </c>
      <c r="E135" s="34" t="str">
        <f>IFERROR(VLOOKUP(D135,Masters!$A$5:$E$16,2,FALSE()),"")</f>
        <v>Delhi</v>
      </c>
      <c r="F135" s="34" t="str">
        <f>IFERROR(VLOOKUP(D135,Masters!$A$5:$E$16,3,FALSE()),"")</f>
        <v>Lucknow</v>
      </c>
      <c r="G135" s="35">
        <v>1870</v>
      </c>
      <c r="H135" s="36">
        <f>IFERROR(INDEX(Masters!$D$5:$D$16,MATCH(D135,Masters!$A$5:$A$16,0)),"")</f>
        <v>5.2</v>
      </c>
      <c r="I135" s="37">
        <f t="shared" si="10"/>
        <v>9724</v>
      </c>
      <c r="J135" s="33" t="s">
        <v>144</v>
      </c>
      <c r="K135" s="38">
        <f>IF(OR(B135="",D135=""),"",IFERROR(B135+VLOOKUP(D135,Masters!$A$5:$E$16,5,FALSE()),""))</f>
        <v>46212</v>
      </c>
      <c r="L135" s="13">
        <v>46212</v>
      </c>
      <c r="M135" s="33" t="s">
        <v>104</v>
      </c>
      <c r="N135" s="34">
        <f t="shared" si="11"/>
        <v>0</v>
      </c>
      <c r="O135" s="34" t="str">
        <f t="shared" si="12"/>
        <v>Yes</v>
      </c>
      <c r="P135" s="39">
        <f t="shared" si="13"/>
        <v>46204</v>
      </c>
      <c r="Q135" s="34" t="str">
        <f t="shared" si="14"/>
        <v>OK</v>
      </c>
    </row>
    <row r="136" spans="1:17" x14ac:dyDescent="0.3">
      <c r="A136" s="33" t="s">
        <v>285</v>
      </c>
      <c r="B136" s="13">
        <v>46210</v>
      </c>
      <c r="C136" s="33" t="s">
        <v>146</v>
      </c>
      <c r="D136" s="33" t="s">
        <v>135</v>
      </c>
      <c r="E136" s="34" t="str">
        <f>IFERROR(VLOOKUP(D136,Masters!$A$5:$E$16,2,FALSE()),"")</f>
        <v>Delhi</v>
      </c>
      <c r="F136" s="34" t="str">
        <f>IFERROR(VLOOKUP(D136,Masters!$A$5:$E$16,3,FALSE()),"")</f>
        <v>Lucknow</v>
      </c>
      <c r="G136" s="35">
        <v>4530</v>
      </c>
      <c r="H136" s="36">
        <f>IFERROR(INDEX(Masters!$D$5:$D$16,MATCH(D136,Masters!$A$5:$A$16,0)),"")</f>
        <v>5.2</v>
      </c>
      <c r="I136" s="37">
        <f t="shared" si="10"/>
        <v>23556</v>
      </c>
      <c r="J136" s="33" t="s">
        <v>129</v>
      </c>
      <c r="K136" s="38">
        <f>IF(OR(B136="",D136=""),"",IFERROR(B136+VLOOKUP(D136,Masters!$A$5:$E$16,5,FALSE()),""))</f>
        <v>46213</v>
      </c>
      <c r="L136" s="13">
        <v>46213</v>
      </c>
      <c r="M136" s="33" t="s">
        <v>104</v>
      </c>
      <c r="N136" s="34">
        <f t="shared" si="11"/>
        <v>0</v>
      </c>
      <c r="O136" s="34" t="str">
        <f t="shared" si="12"/>
        <v>Yes</v>
      </c>
      <c r="P136" s="39">
        <f t="shared" si="13"/>
        <v>46204</v>
      </c>
      <c r="Q136" s="34" t="str">
        <f t="shared" si="14"/>
        <v>OK</v>
      </c>
    </row>
    <row r="137" spans="1:17" x14ac:dyDescent="0.3">
      <c r="A137" s="33" t="s">
        <v>286</v>
      </c>
      <c r="B137" s="13">
        <v>46210</v>
      </c>
      <c r="C137" s="33" t="s">
        <v>156</v>
      </c>
      <c r="D137" s="33" t="s">
        <v>154</v>
      </c>
      <c r="E137" s="34" t="str">
        <f>IFERROR(VLOOKUP(D137,Masters!$A$5:$E$16,2,FALSE()),"")</f>
        <v>Delhi</v>
      </c>
      <c r="F137" s="34" t="str">
        <f>IFERROR(VLOOKUP(D137,Masters!$A$5:$E$16,3,FALSE()),"")</f>
        <v>Bhopal</v>
      </c>
      <c r="G137" s="35">
        <v>2500</v>
      </c>
      <c r="H137" s="36">
        <f>IFERROR(INDEX(Masters!$D$5:$D$16,MATCH(D137,Masters!$A$5:$A$16,0)),"")</f>
        <v>8</v>
      </c>
      <c r="I137" s="37">
        <f t="shared" si="10"/>
        <v>20000</v>
      </c>
      <c r="J137" s="33" t="s">
        <v>129</v>
      </c>
      <c r="K137" s="38">
        <f>IF(OR(B137="",D137=""),"",IFERROR(B137+VLOOKUP(D137,Masters!$A$5:$E$16,5,FALSE()),""))</f>
        <v>46215</v>
      </c>
      <c r="L137" s="13">
        <v>46217</v>
      </c>
      <c r="M137" s="33" t="s">
        <v>104</v>
      </c>
      <c r="N137" s="34">
        <f t="shared" si="11"/>
        <v>2</v>
      </c>
      <c r="O137" s="34" t="str">
        <f t="shared" si="12"/>
        <v>No</v>
      </c>
      <c r="P137" s="39">
        <f t="shared" si="13"/>
        <v>46204</v>
      </c>
      <c r="Q137" s="34" t="str">
        <f t="shared" si="14"/>
        <v>OK</v>
      </c>
    </row>
    <row r="138" spans="1:17" x14ac:dyDescent="0.3">
      <c r="A138" s="33" t="s">
        <v>287</v>
      </c>
      <c r="B138" s="13">
        <v>46210</v>
      </c>
      <c r="C138" s="33" t="s">
        <v>127</v>
      </c>
      <c r="D138" s="33" t="s">
        <v>138</v>
      </c>
      <c r="E138" s="34" t="str">
        <f>IFERROR(VLOOKUP(D138,Masters!$A$5:$E$16,2,FALSE()),"")</f>
        <v>Delhi</v>
      </c>
      <c r="F138" s="34" t="str">
        <f>IFERROR(VLOOKUP(D138,Masters!$A$5:$E$16,3,FALSE()),"")</f>
        <v>Kolkata</v>
      </c>
      <c r="G138" s="35">
        <v>5080</v>
      </c>
      <c r="H138" s="36">
        <f>IFERROR(INDEX(Masters!$D$5:$D$16,MATCH(D138,Masters!$A$5:$A$16,0)),"")</f>
        <v>12</v>
      </c>
      <c r="I138" s="37">
        <f t="shared" si="10"/>
        <v>60960</v>
      </c>
      <c r="J138" s="33" t="s">
        <v>136</v>
      </c>
      <c r="K138" s="38">
        <f>IF(OR(B138="",D138=""),"",IFERROR(B138+VLOOKUP(D138,Masters!$A$5:$E$16,5,FALSE()),""))</f>
        <v>46217</v>
      </c>
      <c r="L138" s="13">
        <v>46218</v>
      </c>
      <c r="M138" s="33" t="s">
        <v>104</v>
      </c>
      <c r="N138" s="34">
        <f t="shared" si="11"/>
        <v>1</v>
      </c>
      <c r="O138" s="34" t="str">
        <f t="shared" si="12"/>
        <v>No</v>
      </c>
      <c r="P138" s="39">
        <f t="shared" si="13"/>
        <v>46204</v>
      </c>
      <c r="Q138" s="34" t="str">
        <f t="shared" si="14"/>
        <v>OK</v>
      </c>
    </row>
    <row r="139" spans="1:17" x14ac:dyDescent="0.3">
      <c r="A139" s="33" t="s">
        <v>288</v>
      </c>
      <c r="B139" s="13">
        <v>46210</v>
      </c>
      <c r="C139" s="33" t="s">
        <v>146</v>
      </c>
      <c r="D139" s="33" t="s">
        <v>152</v>
      </c>
      <c r="E139" s="34" t="str">
        <f>IFERROR(VLOOKUP(D139,Masters!$A$5:$E$16,2,FALSE()),"")</f>
        <v>Delhi</v>
      </c>
      <c r="F139" s="34" t="str">
        <f>IFERROR(VLOOKUP(D139,Masters!$A$5:$E$16,3,FALSE()),"")</f>
        <v>Dehradun</v>
      </c>
      <c r="G139" s="35">
        <v>3920</v>
      </c>
      <c r="H139" s="36">
        <f>IFERROR(INDEX(Masters!$D$5:$D$16,MATCH(D139,Masters!$A$5:$A$16,0)),"")</f>
        <v>4</v>
      </c>
      <c r="I139" s="37">
        <f t="shared" si="10"/>
        <v>15680</v>
      </c>
      <c r="J139" s="33" t="s">
        <v>129</v>
      </c>
      <c r="K139" s="38">
        <f>IF(OR(B139="",D139=""),"",IFERROR(B139+VLOOKUP(D139,Masters!$A$5:$E$16,5,FALSE()),""))</f>
        <v>46212</v>
      </c>
      <c r="L139" s="13">
        <v>46212</v>
      </c>
      <c r="M139" s="33" t="s">
        <v>104</v>
      </c>
      <c r="N139" s="34">
        <f t="shared" si="11"/>
        <v>0</v>
      </c>
      <c r="O139" s="34" t="str">
        <f t="shared" si="12"/>
        <v>Yes</v>
      </c>
      <c r="P139" s="39">
        <f t="shared" si="13"/>
        <v>46204</v>
      </c>
      <c r="Q139" s="34" t="str">
        <f t="shared" si="14"/>
        <v>OK</v>
      </c>
    </row>
    <row r="140" spans="1:17" x14ac:dyDescent="0.3">
      <c r="A140" s="33" t="s">
        <v>289</v>
      </c>
      <c r="B140" s="13">
        <v>46211</v>
      </c>
      <c r="C140" s="33" t="s">
        <v>156</v>
      </c>
      <c r="D140" s="33" t="s">
        <v>135</v>
      </c>
      <c r="E140" s="34" t="str">
        <f>IFERROR(VLOOKUP(D140,Masters!$A$5:$E$16,2,FALSE()),"")</f>
        <v>Delhi</v>
      </c>
      <c r="F140" s="34" t="str">
        <f>IFERROR(VLOOKUP(D140,Masters!$A$5:$E$16,3,FALSE()),"")</f>
        <v>Lucknow</v>
      </c>
      <c r="G140" s="35">
        <v>4100</v>
      </c>
      <c r="H140" s="36">
        <f>IFERROR(INDEX(Masters!$D$5:$D$16,MATCH(D140,Masters!$A$5:$A$16,0)),"")</f>
        <v>5.2</v>
      </c>
      <c r="I140" s="37">
        <f t="shared" si="10"/>
        <v>21320</v>
      </c>
      <c r="J140" s="33" t="s">
        <v>129</v>
      </c>
      <c r="K140" s="38">
        <f>IF(OR(B140="",D140=""),"",IFERROR(B140+VLOOKUP(D140,Masters!$A$5:$E$16,5,FALSE()),""))</f>
        <v>46214</v>
      </c>
      <c r="L140" s="13">
        <v>46217</v>
      </c>
      <c r="M140" s="33" t="s">
        <v>104</v>
      </c>
      <c r="N140" s="34">
        <f t="shared" si="11"/>
        <v>3</v>
      </c>
      <c r="O140" s="34" t="str">
        <f t="shared" si="12"/>
        <v>No</v>
      </c>
      <c r="P140" s="39">
        <f t="shared" si="13"/>
        <v>46204</v>
      </c>
      <c r="Q140" s="34" t="str">
        <f t="shared" si="14"/>
        <v>OK</v>
      </c>
    </row>
    <row r="141" spans="1:17" x14ac:dyDescent="0.3">
      <c r="A141" s="33" t="s">
        <v>290</v>
      </c>
      <c r="B141" s="13">
        <v>46212</v>
      </c>
      <c r="C141" s="33" t="s">
        <v>151</v>
      </c>
      <c r="D141" s="33" t="s">
        <v>143</v>
      </c>
      <c r="E141" s="34" t="str">
        <f>IFERROR(VLOOKUP(D141,Masters!$A$5:$E$16,2,FALSE()),"")</f>
        <v>Delhi</v>
      </c>
      <c r="F141" s="34" t="str">
        <f>IFERROR(VLOOKUP(D141,Masters!$A$5:$E$16,3,FALSE()),"")</f>
        <v>Kanpur</v>
      </c>
      <c r="G141" s="35">
        <v>3100</v>
      </c>
      <c r="H141" s="36">
        <f>IFERROR(INDEX(Masters!$D$5:$D$16,MATCH(D141,Masters!$A$5:$A$16,0)),"")</f>
        <v>4.5</v>
      </c>
      <c r="I141" s="37">
        <f t="shared" si="10"/>
        <v>13950</v>
      </c>
      <c r="J141" s="33" t="s">
        <v>129</v>
      </c>
      <c r="K141" s="38">
        <f>IF(OR(B141="",D141=""),"",IFERROR(B141+VLOOKUP(D141,Masters!$A$5:$E$16,5,FALSE()),""))</f>
        <v>46215</v>
      </c>
      <c r="L141" s="13">
        <v>46215</v>
      </c>
      <c r="M141" s="33" t="s">
        <v>104</v>
      </c>
      <c r="N141" s="34">
        <f t="shared" si="11"/>
        <v>0</v>
      </c>
      <c r="O141" s="34" t="str">
        <f t="shared" si="12"/>
        <v>Yes</v>
      </c>
      <c r="P141" s="39">
        <f t="shared" si="13"/>
        <v>46204</v>
      </c>
      <c r="Q141" s="34" t="str">
        <f t="shared" si="14"/>
        <v>OK</v>
      </c>
    </row>
    <row r="142" spans="1:17" x14ac:dyDescent="0.3">
      <c r="A142" s="33" t="s">
        <v>291</v>
      </c>
      <c r="B142" s="13">
        <v>46213</v>
      </c>
      <c r="C142" s="33" t="s">
        <v>151</v>
      </c>
      <c r="D142" s="33" t="s">
        <v>161</v>
      </c>
      <c r="E142" s="34" t="str">
        <f>IFERROR(VLOOKUP(D142,Masters!$A$5:$E$16,2,FALSE()),"")</f>
        <v>Delhi</v>
      </c>
      <c r="F142" s="34" t="str">
        <f>IFERROR(VLOOKUP(D142,Masters!$A$5:$E$16,3,FALSE()),"")</f>
        <v>Chandigarh</v>
      </c>
      <c r="G142" s="35">
        <v>4080</v>
      </c>
      <c r="H142" s="36">
        <f>IFERROR(INDEX(Masters!$D$5:$D$16,MATCH(D142,Masters!$A$5:$A$16,0)),"")</f>
        <v>3</v>
      </c>
      <c r="I142" s="37">
        <f t="shared" si="10"/>
        <v>12240</v>
      </c>
      <c r="J142" s="33" t="s">
        <v>129</v>
      </c>
      <c r="K142" s="38">
        <f>IF(OR(B142="",D142=""),"",IFERROR(B142+VLOOKUP(D142,Masters!$A$5:$E$16,5,FALSE()),""))</f>
        <v>46215</v>
      </c>
      <c r="L142" s="13">
        <v>46214</v>
      </c>
      <c r="M142" s="33" t="s">
        <v>104</v>
      </c>
      <c r="N142" s="34">
        <f t="shared" si="11"/>
        <v>0</v>
      </c>
      <c r="O142" s="34" t="str">
        <f t="shared" si="12"/>
        <v>Yes</v>
      </c>
      <c r="P142" s="39">
        <f t="shared" si="13"/>
        <v>46204</v>
      </c>
      <c r="Q142" s="34" t="str">
        <f t="shared" si="14"/>
        <v>OK</v>
      </c>
    </row>
    <row r="143" spans="1:17" x14ac:dyDescent="0.3">
      <c r="A143" s="33" t="s">
        <v>292</v>
      </c>
      <c r="B143" s="13">
        <v>46215</v>
      </c>
      <c r="C143" s="33" t="s">
        <v>151</v>
      </c>
      <c r="D143" s="33" t="s">
        <v>220</v>
      </c>
      <c r="E143" s="34" t="str">
        <f>IFERROR(VLOOKUP(D143,Masters!$A$5:$E$16,2,FALSE()),"")</f>
        <v>Delhi</v>
      </c>
      <c r="F143" s="34" t="str">
        <f>IFERROR(VLOOKUP(D143,Masters!$A$5:$E$16,3,FALSE()),"")</f>
        <v>Indore</v>
      </c>
      <c r="G143" s="35">
        <v>1670</v>
      </c>
      <c r="H143" s="36">
        <f>IFERROR(INDEX(Masters!$D$5:$D$16,MATCH(D143,Masters!$A$5:$A$16,0)),"")</f>
        <v>9</v>
      </c>
      <c r="I143" s="37">
        <f t="shared" si="10"/>
        <v>15030</v>
      </c>
      <c r="J143" s="33" t="s">
        <v>144</v>
      </c>
      <c r="K143" s="38">
        <f>IF(OR(B143="",D143=""),"",IFERROR(B143+VLOOKUP(D143,Masters!$A$5:$E$16,5,FALSE()),""))</f>
        <v>46220</v>
      </c>
      <c r="L143" s="13">
        <v>46220</v>
      </c>
      <c r="M143" s="33" t="s">
        <v>104</v>
      </c>
      <c r="N143" s="34">
        <f t="shared" si="11"/>
        <v>0</v>
      </c>
      <c r="O143" s="34" t="str">
        <f t="shared" si="12"/>
        <v>Yes</v>
      </c>
      <c r="P143" s="39">
        <f t="shared" si="13"/>
        <v>46204</v>
      </c>
      <c r="Q143" s="34" t="str">
        <f t="shared" si="14"/>
        <v>OK</v>
      </c>
    </row>
    <row r="144" spans="1:17" x14ac:dyDescent="0.3">
      <c r="A144" s="33" t="s">
        <v>293</v>
      </c>
      <c r="B144" s="13">
        <v>46217</v>
      </c>
      <c r="C144" s="33" t="s">
        <v>131</v>
      </c>
      <c r="D144" s="33" t="s">
        <v>132</v>
      </c>
      <c r="E144" s="34" t="str">
        <f>IFERROR(VLOOKUP(D144,Masters!$A$5:$E$16,2,FALSE()),"")</f>
        <v>Delhi</v>
      </c>
      <c r="F144" s="34" t="str">
        <f>IFERROR(VLOOKUP(D144,Masters!$A$5:$E$16,3,FALSE()),"")</f>
        <v>Ahmedabad</v>
      </c>
      <c r="G144" s="35">
        <v>3730</v>
      </c>
      <c r="H144" s="36">
        <f>IFERROR(INDEX(Masters!$D$5:$D$16,MATCH(D144,Masters!$A$5:$A$16,0)),"")</f>
        <v>7.5</v>
      </c>
      <c r="I144" s="37">
        <f t="shared" si="10"/>
        <v>27975</v>
      </c>
      <c r="J144" s="33" t="s">
        <v>129</v>
      </c>
      <c r="K144" s="38">
        <f>IF(OR(B144="",D144=""),"",IFERROR(B144+VLOOKUP(D144,Masters!$A$5:$E$16,5,FALSE()),""))</f>
        <v>46221</v>
      </c>
      <c r="L144" s="13">
        <v>46221</v>
      </c>
      <c r="M144" s="33" t="s">
        <v>104</v>
      </c>
      <c r="N144" s="34">
        <f t="shared" si="11"/>
        <v>0</v>
      </c>
      <c r="O144" s="34" t="str">
        <f t="shared" si="12"/>
        <v>Yes</v>
      </c>
      <c r="P144" s="39">
        <f t="shared" si="13"/>
        <v>46204</v>
      </c>
      <c r="Q144" s="34" t="str">
        <f t="shared" si="14"/>
        <v>OK</v>
      </c>
    </row>
    <row r="145" spans="1:17" x14ac:dyDescent="0.3">
      <c r="A145" s="33" t="s">
        <v>294</v>
      </c>
      <c r="B145" s="13">
        <v>46217</v>
      </c>
      <c r="C145" s="33" t="s">
        <v>156</v>
      </c>
      <c r="D145" s="33" t="s">
        <v>184</v>
      </c>
      <c r="E145" s="34" t="str">
        <f>IFERROR(VLOOKUP(D145,Masters!$A$5:$E$16,2,FALSE()),"")</f>
        <v>Delhi</v>
      </c>
      <c r="F145" s="34" t="str">
        <f>IFERROR(VLOOKUP(D145,Masters!$A$5:$E$16,3,FALSE()),"")</f>
        <v>Agra</v>
      </c>
      <c r="G145" s="35">
        <v>4370</v>
      </c>
      <c r="H145" s="36">
        <f>IFERROR(INDEX(Masters!$D$5:$D$16,MATCH(D145,Masters!$A$5:$A$16,0)),"")</f>
        <v>2.8</v>
      </c>
      <c r="I145" s="37">
        <f t="shared" si="10"/>
        <v>12236</v>
      </c>
      <c r="J145" s="33" t="s">
        <v>129</v>
      </c>
      <c r="K145" s="38">
        <f>IF(OR(B145="",D145=""),"",IFERROR(B145+VLOOKUP(D145,Masters!$A$5:$E$16,5,FALSE()),""))</f>
        <v>46219</v>
      </c>
      <c r="L145" s="13">
        <v>46224</v>
      </c>
      <c r="M145" s="33" t="s">
        <v>104</v>
      </c>
      <c r="N145" s="34">
        <f t="shared" si="11"/>
        <v>5</v>
      </c>
      <c r="O145" s="34" t="str">
        <f t="shared" si="12"/>
        <v>No</v>
      </c>
      <c r="P145" s="39">
        <f t="shared" si="13"/>
        <v>46204</v>
      </c>
      <c r="Q145" s="34" t="str">
        <f t="shared" si="14"/>
        <v>OK</v>
      </c>
    </row>
    <row r="146" spans="1:17" x14ac:dyDescent="0.3">
      <c r="A146" s="33" t="s">
        <v>295</v>
      </c>
      <c r="B146" s="13">
        <v>46218</v>
      </c>
      <c r="C146" s="33" t="s">
        <v>131</v>
      </c>
      <c r="D146" s="33" t="s">
        <v>140</v>
      </c>
      <c r="E146" s="34" t="str">
        <f>IFERROR(VLOOKUP(D146,Masters!$A$5:$E$16,2,FALSE()),"")</f>
        <v>Delhi</v>
      </c>
      <c r="F146" s="34" t="str">
        <f>IFERROR(VLOOKUP(D146,Masters!$A$5:$E$16,3,FALSE()),"")</f>
        <v>Mumbai</v>
      </c>
      <c r="G146" s="35">
        <v>5230</v>
      </c>
      <c r="H146" s="36">
        <f>IFERROR(INDEX(Masters!$D$5:$D$16,MATCH(D146,Masters!$A$5:$A$16,0)),"")</f>
        <v>9.5</v>
      </c>
      <c r="I146" s="37">
        <f t="shared" si="10"/>
        <v>49685</v>
      </c>
      <c r="J146" s="33" t="s">
        <v>136</v>
      </c>
      <c r="K146" s="38">
        <f>IF(OR(B146="",D146=""),"",IFERROR(B146+VLOOKUP(D146,Masters!$A$5:$E$16,5,FALSE()),""))</f>
        <v>46224</v>
      </c>
      <c r="L146" s="13">
        <v>46227</v>
      </c>
      <c r="M146" s="33" t="s">
        <v>104</v>
      </c>
      <c r="N146" s="34">
        <f t="shared" si="11"/>
        <v>3</v>
      </c>
      <c r="O146" s="34" t="str">
        <f t="shared" si="12"/>
        <v>No</v>
      </c>
      <c r="P146" s="39">
        <f t="shared" si="13"/>
        <v>46204</v>
      </c>
      <c r="Q146" s="34" t="str">
        <f t="shared" si="14"/>
        <v>OK</v>
      </c>
    </row>
    <row r="147" spans="1:17" x14ac:dyDescent="0.3">
      <c r="A147" s="33" t="s">
        <v>296</v>
      </c>
      <c r="B147" s="13">
        <v>46219</v>
      </c>
      <c r="C147" s="33" t="s">
        <v>146</v>
      </c>
      <c r="D147" s="33" t="s">
        <v>140</v>
      </c>
      <c r="E147" s="34" t="str">
        <f>IFERROR(VLOOKUP(D147,Masters!$A$5:$E$16,2,FALSE()),"")</f>
        <v>Delhi</v>
      </c>
      <c r="F147" s="34" t="str">
        <f>IFERROR(VLOOKUP(D147,Masters!$A$5:$E$16,3,FALSE()),"")</f>
        <v>Mumbai</v>
      </c>
      <c r="G147" s="35">
        <v>3440</v>
      </c>
      <c r="H147" s="36">
        <f>IFERROR(INDEX(Masters!$D$5:$D$16,MATCH(D147,Masters!$A$5:$A$16,0)),"")</f>
        <v>9.5</v>
      </c>
      <c r="I147" s="37">
        <f t="shared" si="10"/>
        <v>32680</v>
      </c>
      <c r="J147" s="33" t="s">
        <v>129</v>
      </c>
      <c r="K147" s="38">
        <f>IF(OR(B147="",D147=""),"",IFERROR(B147+VLOOKUP(D147,Masters!$A$5:$E$16,5,FALSE()),""))</f>
        <v>46225</v>
      </c>
      <c r="L147" s="13">
        <v>46226</v>
      </c>
      <c r="M147" s="33" t="s">
        <v>104</v>
      </c>
      <c r="N147" s="34">
        <f t="shared" si="11"/>
        <v>1</v>
      </c>
      <c r="O147" s="34" t="str">
        <f t="shared" si="12"/>
        <v>No</v>
      </c>
      <c r="P147" s="39">
        <f t="shared" si="13"/>
        <v>46204</v>
      </c>
      <c r="Q147" s="34" t="str">
        <f t="shared" si="14"/>
        <v>OK</v>
      </c>
    </row>
    <row r="148" spans="1:17" x14ac:dyDescent="0.3">
      <c r="A148" s="33" t="s">
        <v>297</v>
      </c>
      <c r="B148" s="13">
        <v>46219</v>
      </c>
      <c r="C148" s="33" t="s">
        <v>131</v>
      </c>
      <c r="D148" s="33" t="s">
        <v>152</v>
      </c>
      <c r="E148" s="34" t="str">
        <f>IFERROR(VLOOKUP(D148,Masters!$A$5:$E$16,2,FALSE()),"")</f>
        <v>Delhi</v>
      </c>
      <c r="F148" s="34" t="str">
        <f>IFERROR(VLOOKUP(D148,Masters!$A$5:$E$16,3,FALSE()),"")</f>
        <v>Dehradun</v>
      </c>
      <c r="G148" s="35">
        <v>5590</v>
      </c>
      <c r="H148" s="36">
        <f>IFERROR(INDEX(Masters!$D$5:$D$16,MATCH(D148,Masters!$A$5:$A$16,0)),"")</f>
        <v>4</v>
      </c>
      <c r="I148" s="37">
        <f t="shared" si="10"/>
        <v>22360</v>
      </c>
      <c r="J148" s="33" t="s">
        <v>136</v>
      </c>
      <c r="K148" s="38">
        <f>IF(OR(B148="",D148=""),"",IFERROR(B148+VLOOKUP(D148,Masters!$A$5:$E$16,5,FALSE()),""))</f>
        <v>46221</v>
      </c>
      <c r="L148" s="13">
        <v>46222</v>
      </c>
      <c r="M148" s="33" t="s">
        <v>104</v>
      </c>
      <c r="N148" s="34">
        <f t="shared" si="11"/>
        <v>1</v>
      </c>
      <c r="O148" s="34" t="str">
        <f t="shared" si="12"/>
        <v>No</v>
      </c>
      <c r="P148" s="39">
        <f t="shared" si="13"/>
        <v>46204</v>
      </c>
      <c r="Q148" s="34" t="str">
        <f t="shared" si="14"/>
        <v>OK</v>
      </c>
    </row>
    <row r="149" spans="1:17" x14ac:dyDescent="0.3">
      <c r="A149" s="33" t="s">
        <v>298</v>
      </c>
      <c r="B149" s="13">
        <v>46219</v>
      </c>
      <c r="C149" s="33" t="s">
        <v>156</v>
      </c>
      <c r="D149" s="33" t="s">
        <v>140</v>
      </c>
      <c r="E149" s="34" t="str">
        <f>IFERROR(VLOOKUP(D149,Masters!$A$5:$E$16,2,FALSE()),"")</f>
        <v>Delhi</v>
      </c>
      <c r="F149" s="34" t="str">
        <f>IFERROR(VLOOKUP(D149,Masters!$A$5:$E$16,3,FALSE()),"")</f>
        <v>Mumbai</v>
      </c>
      <c r="G149" s="35">
        <v>7010</v>
      </c>
      <c r="H149" s="36">
        <f>IFERROR(INDEX(Masters!$D$5:$D$16,MATCH(D149,Masters!$A$5:$A$16,0)),"")</f>
        <v>9.5</v>
      </c>
      <c r="I149" s="37">
        <f t="shared" si="10"/>
        <v>66595</v>
      </c>
      <c r="J149" s="33" t="s">
        <v>136</v>
      </c>
      <c r="K149" s="38">
        <f>IF(OR(B149="",D149=""),"",IFERROR(B149+VLOOKUP(D149,Masters!$A$5:$E$16,5,FALSE()),""))</f>
        <v>46225</v>
      </c>
      <c r="L149" s="13">
        <v>46224</v>
      </c>
      <c r="M149" s="33" t="s">
        <v>104</v>
      </c>
      <c r="N149" s="34">
        <f t="shared" si="11"/>
        <v>0</v>
      </c>
      <c r="O149" s="34" t="str">
        <f t="shared" si="12"/>
        <v>Yes</v>
      </c>
      <c r="P149" s="39">
        <f t="shared" si="13"/>
        <v>46204</v>
      </c>
      <c r="Q149" s="34" t="str">
        <f t="shared" si="14"/>
        <v>OK</v>
      </c>
    </row>
    <row r="150" spans="1:17" x14ac:dyDescent="0.3">
      <c r="A150" s="33" t="s">
        <v>299</v>
      </c>
      <c r="B150" s="13">
        <v>46220</v>
      </c>
      <c r="C150" s="33" t="s">
        <v>146</v>
      </c>
      <c r="D150" s="33" t="s">
        <v>140</v>
      </c>
      <c r="E150" s="34" t="str">
        <f>IFERROR(VLOOKUP(D150,Masters!$A$5:$E$16,2,FALSE()),"")</f>
        <v>Delhi</v>
      </c>
      <c r="F150" s="34" t="str">
        <f>IFERROR(VLOOKUP(D150,Masters!$A$5:$E$16,3,FALSE()),"")</f>
        <v>Mumbai</v>
      </c>
      <c r="G150" s="35">
        <v>7790</v>
      </c>
      <c r="H150" s="36">
        <f>IFERROR(INDEX(Masters!$D$5:$D$16,MATCH(D150,Masters!$A$5:$A$16,0)),"")</f>
        <v>9.5</v>
      </c>
      <c r="I150" s="37">
        <f t="shared" si="10"/>
        <v>74005</v>
      </c>
      <c r="J150" s="33" t="s">
        <v>136</v>
      </c>
      <c r="K150" s="38">
        <f>IF(OR(B150="",D150=""),"",IFERROR(B150+VLOOKUP(D150,Masters!$A$5:$E$16,5,FALSE()),""))</f>
        <v>46226</v>
      </c>
      <c r="L150" s="13">
        <v>46225</v>
      </c>
      <c r="M150" s="33" t="s">
        <v>104</v>
      </c>
      <c r="N150" s="34">
        <f t="shared" si="11"/>
        <v>0</v>
      </c>
      <c r="O150" s="34" t="str">
        <f t="shared" si="12"/>
        <v>Yes</v>
      </c>
      <c r="P150" s="39">
        <f t="shared" si="13"/>
        <v>46204</v>
      </c>
      <c r="Q150" s="34" t="str">
        <f t="shared" si="14"/>
        <v>OK</v>
      </c>
    </row>
    <row r="151" spans="1:17" x14ac:dyDescent="0.3">
      <c r="A151" s="33" t="s">
        <v>300</v>
      </c>
      <c r="B151" s="13">
        <v>46221</v>
      </c>
      <c r="C151" s="33" t="s">
        <v>171</v>
      </c>
      <c r="D151" s="33" t="s">
        <v>143</v>
      </c>
      <c r="E151" s="34" t="str">
        <f>IFERROR(VLOOKUP(D151,Masters!$A$5:$E$16,2,FALSE()),"")</f>
        <v>Delhi</v>
      </c>
      <c r="F151" s="34" t="str">
        <f>IFERROR(VLOOKUP(D151,Masters!$A$5:$E$16,3,FALSE()),"")</f>
        <v>Kanpur</v>
      </c>
      <c r="G151" s="35">
        <v>5590</v>
      </c>
      <c r="H151" s="36">
        <f>IFERROR(INDEX(Masters!$D$5:$D$16,MATCH(D151,Masters!$A$5:$A$16,0)),"")</f>
        <v>4.5</v>
      </c>
      <c r="I151" s="37">
        <f t="shared" si="10"/>
        <v>25155</v>
      </c>
      <c r="J151" s="33" t="s">
        <v>136</v>
      </c>
      <c r="K151" s="38">
        <f>IF(OR(B151="",D151=""),"",IFERROR(B151+VLOOKUP(D151,Masters!$A$5:$E$16,5,FALSE()),""))</f>
        <v>46224</v>
      </c>
      <c r="L151" s="13">
        <v>46229</v>
      </c>
      <c r="M151" s="33" t="s">
        <v>104</v>
      </c>
      <c r="N151" s="34">
        <f t="shared" si="11"/>
        <v>5</v>
      </c>
      <c r="O151" s="34" t="str">
        <f t="shared" si="12"/>
        <v>No</v>
      </c>
      <c r="P151" s="39">
        <f t="shared" si="13"/>
        <v>46204</v>
      </c>
      <c r="Q151" s="34" t="str">
        <f t="shared" si="14"/>
        <v>OK</v>
      </c>
    </row>
    <row r="152" spans="1:17" x14ac:dyDescent="0.3">
      <c r="A152" s="33" t="s">
        <v>301</v>
      </c>
      <c r="B152" s="13">
        <v>46221</v>
      </c>
      <c r="C152" s="33" t="s">
        <v>171</v>
      </c>
      <c r="D152" s="33" t="s">
        <v>143</v>
      </c>
      <c r="E152" s="34" t="str">
        <f>IFERROR(VLOOKUP(D152,Masters!$A$5:$E$16,2,FALSE()),"")</f>
        <v>Delhi</v>
      </c>
      <c r="F152" s="34" t="str">
        <f>IFERROR(VLOOKUP(D152,Masters!$A$5:$E$16,3,FALSE()),"")</f>
        <v>Kanpur</v>
      </c>
      <c r="G152" s="35">
        <v>5530</v>
      </c>
      <c r="H152" s="36">
        <f>IFERROR(INDEX(Masters!$D$5:$D$16,MATCH(D152,Masters!$A$5:$A$16,0)),"")</f>
        <v>4.5</v>
      </c>
      <c r="I152" s="37">
        <f t="shared" si="10"/>
        <v>24885</v>
      </c>
      <c r="J152" s="33" t="s">
        <v>136</v>
      </c>
      <c r="K152" s="38">
        <f>IF(OR(B152="",D152=""),"",IFERROR(B152+VLOOKUP(D152,Masters!$A$5:$E$16,5,FALSE()),""))</f>
        <v>46224</v>
      </c>
      <c r="L152" s="13">
        <v>46226</v>
      </c>
      <c r="M152" s="33" t="s">
        <v>104</v>
      </c>
      <c r="N152" s="34">
        <f t="shared" si="11"/>
        <v>2</v>
      </c>
      <c r="O152" s="34" t="str">
        <f t="shared" si="12"/>
        <v>No</v>
      </c>
      <c r="P152" s="39">
        <f t="shared" si="13"/>
        <v>46204</v>
      </c>
      <c r="Q152" s="34" t="str">
        <f t="shared" si="14"/>
        <v>OK</v>
      </c>
    </row>
    <row r="153" spans="1:17" x14ac:dyDescent="0.3">
      <c r="A153" s="33" t="s">
        <v>302</v>
      </c>
      <c r="B153" s="13">
        <v>46222</v>
      </c>
      <c r="C153" s="33" t="s">
        <v>142</v>
      </c>
      <c r="D153" s="33" t="s">
        <v>220</v>
      </c>
      <c r="E153" s="34" t="str">
        <f>IFERROR(VLOOKUP(D153,Masters!$A$5:$E$16,2,FALSE()),"")</f>
        <v>Delhi</v>
      </c>
      <c r="F153" s="34" t="str">
        <f>IFERROR(VLOOKUP(D153,Masters!$A$5:$E$16,3,FALSE()),"")</f>
        <v>Indore</v>
      </c>
      <c r="G153" s="35">
        <v>5190</v>
      </c>
      <c r="H153" s="36">
        <f>IFERROR(INDEX(Masters!$D$5:$D$16,MATCH(D153,Masters!$A$5:$A$16,0)),"")</f>
        <v>9</v>
      </c>
      <c r="I153" s="37">
        <f t="shared" si="10"/>
        <v>46710</v>
      </c>
      <c r="J153" s="33" t="s">
        <v>136</v>
      </c>
      <c r="K153" s="38">
        <f>IF(OR(B153="",D153=""),"",IFERROR(B153+VLOOKUP(D153,Masters!$A$5:$E$16,5,FALSE()),""))</f>
        <v>46227</v>
      </c>
      <c r="L153" s="13">
        <v>46230</v>
      </c>
      <c r="M153" s="33" t="s">
        <v>104</v>
      </c>
      <c r="N153" s="34">
        <f t="shared" si="11"/>
        <v>3</v>
      </c>
      <c r="O153" s="34" t="str">
        <f t="shared" si="12"/>
        <v>No</v>
      </c>
      <c r="P153" s="39">
        <f t="shared" si="13"/>
        <v>46204</v>
      </c>
      <c r="Q153" s="34" t="str">
        <f t="shared" si="14"/>
        <v>OK</v>
      </c>
    </row>
    <row r="154" spans="1:17" x14ac:dyDescent="0.3">
      <c r="A154" s="33" t="s">
        <v>303</v>
      </c>
      <c r="B154" s="13">
        <v>46222</v>
      </c>
      <c r="C154" s="33" t="s">
        <v>131</v>
      </c>
      <c r="D154" s="33" t="s">
        <v>152</v>
      </c>
      <c r="E154" s="34" t="str">
        <f>IFERROR(VLOOKUP(D154,Masters!$A$5:$E$16,2,FALSE()),"")</f>
        <v>Delhi</v>
      </c>
      <c r="F154" s="34" t="str">
        <f>IFERROR(VLOOKUP(D154,Masters!$A$5:$E$16,3,FALSE()),"")</f>
        <v>Dehradun</v>
      </c>
      <c r="G154" s="35">
        <v>5420</v>
      </c>
      <c r="H154" s="36">
        <f>IFERROR(INDEX(Masters!$D$5:$D$16,MATCH(D154,Masters!$A$5:$A$16,0)),"")</f>
        <v>4</v>
      </c>
      <c r="I154" s="37">
        <f t="shared" si="10"/>
        <v>21680</v>
      </c>
      <c r="J154" s="33" t="s">
        <v>136</v>
      </c>
      <c r="K154" s="38">
        <f>IF(OR(B154="",D154=""),"",IFERROR(B154+VLOOKUP(D154,Masters!$A$5:$E$16,5,FALSE()),""))</f>
        <v>46224</v>
      </c>
      <c r="L154" s="13">
        <v>46229</v>
      </c>
      <c r="M154" s="33" t="s">
        <v>104</v>
      </c>
      <c r="N154" s="34">
        <f t="shared" si="11"/>
        <v>5</v>
      </c>
      <c r="O154" s="34" t="str">
        <f t="shared" si="12"/>
        <v>No</v>
      </c>
      <c r="P154" s="39">
        <f t="shared" si="13"/>
        <v>46204</v>
      </c>
      <c r="Q154" s="34" t="str">
        <f t="shared" si="14"/>
        <v>OK</v>
      </c>
    </row>
    <row r="155" spans="1:17" x14ac:dyDescent="0.3">
      <c r="A155" s="33" t="s">
        <v>304</v>
      </c>
      <c r="B155" s="13">
        <v>46223</v>
      </c>
      <c r="C155" s="33" t="s">
        <v>127</v>
      </c>
      <c r="D155" s="33" t="s">
        <v>143</v>
      </c>
      <c r="E155" s="34" t="str">
        <f>IFERROR(VLOOKUP(D155,Masters!$A$5:$E$16,2,FALSE()),"")</f>
        <v>Delhi</v>
      </c>
      <c r="F155" s="34" t="str">
        <f>IFERROR(VLOOKUP(D155,Masters!$A$5:$E$16,3,FALSE()),"")</f>
        <v>Kanpur</v>
      </c>
      <c r="G155" s="35">
        <v>2950</v>
      </c>
      <c r="H155" s="36">
        <f>IFERROR(INDEX(Masters!$D$5:$D$16,MATCH(D155,Masters!$A$5:$A$16,0)),"")</f>
        <v>4.5</v>
      </c>
      <c r="I155" s="37">
        <f t="shared" si="10"/>
        <v>13275</v>
      </c>
      <c r="J155" s="33" t="s">
        <v>129</v>
      </c>
      <c r="K155" s="38">
        <f>IF(OR(B155="",D155=""),"",IFERROR(B155+VLOOKUP(D155,Masters!$A$5:$E$16,5,FALSE()),""))</f>
        <v>46226</v>
      </c>
      <c r="L155" s="13">
        <v>46229</v>
      </c>
      <c r="M155" s="33" t="s">
        <v>104</v>
      </c>
      <c r="N155" s="34">
        <f t="shared" si="11"/>
        <v>3</v>
      </c>
      <c r="O155" s="34" t="str">
        <f t="shared" si="12"/>
        <v>No</v>
      </c>
      <c r="P155" s="39">
        <f t="shared" si="13"/>
        <v>46204</v>
      </c>
      <c r="Q155" s="34" t="str">
        <f t="shared" si="14"/>
        <v>OK</v>
      </c>
    </row>
    <row r="156" spans="1:17" x14ac:dyDescent="0.3">
      <c r="A156" s="33" t="s">
        <v>305</v>
      </c>
      <c r="B156" s="13">
        <v>46223</v>
      </c>
      <c r="C156" s="33" t="s">
        <v>131</v>
      </c>
      <c r="D156" s="33" t="s">
        <v>161</v>
      </c>
      <c r="E156" s="34" t="str">
        <f>IFERROR(VLOOKUP(D156,Masters!$A$5:$E$16,2,FALSE()),"")</f>
        <v>Delhi</v>
      </c>
      <c r="F156" s="34" t="str">
        <f>IFERROR(VLOOKUP(D156,Masters!$A$5:$E$16,3,FALSE()),"")</f>
        <v>Chandigarh</v>
      </c>
      <c r="G156" s="35">
        <v>1160</v>
      </c>
      <c r="H156" s="36">
        <f>IFERROR(INDEX(Masters!$D$5:$D$16,MATCH(D156,Masters!$A$5:$A$16,0)),"")</f>
        <v>3</v>
      </c>
      <c r="I156" s="37">
        <f t="shared" si="10"/>
        <v>3480</v>
      </c>
      <c r="J156" s="33" t="s">
        <v>144</v>
      </c>
      <c r="K156" s="38">
        <f>IF(OR(B156="",D156=""),"",IFERROR(B156+VLOOKUP(D156,Masters!$A$5:$E$16,5,FALSE()),""))</f>
        <v>46225</v>
      </c>
      <c r="L156" s="13">
        <v>46226</v>
      </c>
      <c r="M156" s="33" t="s">
        <v>104</v>
      </c>
      <c r="N156" s="34">
        <f t="shared" si="11"/>
        <v>1</v>
      </c>
      <c r="O156" s="34" t="str">
        <f t="shared" si="12"/>
        <v>No</v>
      </c>
      <c r="P156" s="39">
        <f t="shared" si="13"/>
        <v>46204</v>
      </c>
      <c r="Q156" s="34" t="str">
        <f t="shared" si="14"/>
        <v>OK</v>
      </c>
    </row>
    <row r="157" spans="1:17" x14ac:dyDescent="0.3">
      <c r="A157" s="33" t="s">
        <v>306</v>
      </c>
      <c r="B157" s="13">
        <v>46223</v>
      </c>
      <c r="C157" s="33" t="s">
        <v>131</v>
      </c>
      <c r="D157" s="33" t="s">
        <v>159</v>
      </c>
      <c r="E157" s="34" t="str">
        <f>IFERROR(VLOOKUP(D157,Masters!$A$5:$E$16,2,FALSE()),"")</f>
        <v>Delhi</v>
      </c>
      <c r="F157" s="34" t="str">
        <f>IFERROR(VLOOKUP(D157,Masters!$A$5:$E$16,3,FALSE()),"")</f>
        <v>Jaipur</v>
      </c>
      <c r="G157" s="35">
        <v>10610</v>
      </c>
      <c r="H157" s="36">
        <f>IFERROR(INDEX(Masters!$D$5:$D$16,MATCH(D157,Masters!$A$5:$A$16,0)),"")</f>
        <v>3.5</v>
      </c>
      <c r="I157" s="37">
        <f t="shared" si="10"/>
        <v>37135</v>
      </c>
      <c r="J157" s="33" t="s">
        <v>157</v>
      </c>
      <c r="K157" s="38">
        <f>IF(OR(B157="",D157=""),"",IFERROR(B157+VLOOKUP(D157,Masters!$A$5:$E$16,5,FALSE()),""))</f>
        <v>46225</v>
      </c>
      <c r="L157" s="13">
        <v>46230</v>
      </c>
      <c r="M157" s="33" t="s">
        <v>104</v>
      </c>
      <c r="N157" s="34">
        <f t="shared" si="11"/>
        <v>5</v>
      </c>
      <c r="O157" s="34" t="str">
        <f t="shared" si="12"/>
        <v>No</v>
      </c>
      <c r="P157" s="39">
        <f t="shared" si="13"/>
        <v>46204</v>
      </c>
      <c r="Q157" s="34" t="str">
        <f t="shared" si="14"/>
        <v>OK</v>
      </c>
    </row>
    <row r="158" spans="1:17" x14ac:dyDescent="0.3">
      <c r="A158" s="33" t="s">
        <v>307</v>
      </c>
      <c r="B158" s="13">
        <v>46223</v>
      </c>
      <c r="C158" s="33" t="s">
        <v>131</v>
      </c>
      <c r="D158" s="33" t="s">
        <v>161</v>
      </c>
      <c r="E158" s="34" t="str">
        <f>IFERROR(VLOOKUP(D158,Masters!$A$5:$E$16,2,FALSE()),"")</f>
        <v>Delhi</v>
      </c>
      <c r="F158" s="34" t="str">
        <f>IFERROR(VLOOKUP(D158,Masters!$A$5:$E$16,3,FALSE()),"")</f>
        <v>Chandigarh</v>
      </c>
      <c r="G158" s="35">
        <v>8640</v>
      </c>
      <c r="H158" s="36">
        <f>IFERROR(INDEX(Masters!$D$5:$D$16,MATCH(D158,Masters!$A$5:$A$16,0)),"")</f>
        <v>3</v>
      </c>
      <c r="I158" s="37">
        <f t="shared" si="10"/>
        <v>25920</v>
      </c>
      <c r="J158" s="33" t="s">
        <v>136</v>
      </c>
      <c r="K158" s="38">
        <f>IF(OR(B158="",D158=""),"",IFERROR(B158+VLOOKUP(D158,Masters!$A$5:$E$16,5,FALSE()),""))</f>
        <v>46225</v>
      </c>
      <c r="L158" s="13">
        <v>46224</v>
      </c>
      <c r="M158" s="33" t="s">
        <v>104</v>
      </c>
      <c r="N158" s="34">
        <f t="shared" si="11"/>
        <v>0</v>
      </c>
      <c r="O158" s="34" t="str">
        <f t="shared" si="12"/>
        <v>Yes</v>
      </c>
      <c r="P158" s="39">
        <f t="shared" si="13"/>
        <v>46204</v>
      </c>
      <c r="Q158" s="34" t="str">
        <f t="shared" si="14"/>
        <v>OK</v>
      </c>
    </row>
    <row r="159" spans="1:17" x14ac:dyDescent="0.3">
      <c r="A159" s="33" t="s">
        <v>308</v>
      </c>
      <c r="B159" s="13">
        <v>46223</v>
      </c>
      <c r="C159" s="33" t="s">
        <v>146</v>
      </c>
      <c r="D159" s="33" t="s">
        <v>135</v>
      </c>
      <c r="E159" s="34" t="str">
        <f>IFERROR(VLOOKUP(D159,Masters!$A$5:$E$16,2,FALSE()),"")</f>
        <v>Delhi</v>
      </c>
      <c r="F159" s="34" t="str">
        <f>IFERROR(VLOOKUP(D159,Masters!$A$5:$E$16,3,FALSE()),"")</f>
        <v>Lucknow</v>
      </c>
      <c r="G159" s="35">
        <v>6000</v>
      </c>
      <c r="H159" s="36">
        <f>IFERROR(INDEX(Masters!$D$5:$D$16,MATCH(D159,Masters!$A$5:$A$16,0)),"")</f>
        <v>5.2</v>
      </c>
      <c r="I159" s="37">
        <f t="shared" si="10"/>
        <v>31200</v>
      </c>
      <c r="J159" s="33" t="s">
        <v>136</v>
      </c>
      <c r="K159" s="38">
        <f>IF(OR(B159="",D159=""),"",IFERROR(B159+VLOOKUP(D159,Masters!$A$5:$E$16,5,FALSE()),""))</f>
        <v>46226</v>
      </c>
      <c r="L159" s="13">
        <v>46226</v>
      </c>
      <c r="M159" s="33" t="s">
        <v>104</v>
      </c>
      <c r="N159" s="34">
        <f t="shared" si="11"/>
        <v>0</v>
      </c>
      <c r="O159" s="34" t="str">
        <f t="shared" si="12"/>
        <v>Yes</v>
      </c>
      <c r="P159" s="39">
        <f t="shared" si="13"/>
        <v>46204</v>
      </c>
      <c r="Q159" s="34" t="str">
        <f t="shared" si="14"/>
        <v>OK</v>
      </c>
    </row>
    <row r="160" spans="1:17" x14ac:dyDescent="0.3">
      <c r="A160" s="33" t="s">
        <v>309</v>
      </c>
      <c r="B160" s="13">
        <v>46223</v>
      </c>
      <c r="C160" s="33" t="s">
        <v>146</v>
      </c>
      <c r="D160" s="33" t="s">
        <v>140</v>
      </c>
      <c r="E160" s="34" t="str">
        <f>IFERROR(VLOOKUP(D160,Masters!$A$5:$E$16,2,FALSE()),"")</f>
        <v>Delhi</v>
      </c>
      <c r="F160" s="34" t="str">
        <f>IFERROR(VLOOKUP(D160,Masters!$A$5:$E$16,3,FALSE()),"")</f>
        <v>Mumbai</v>
      </c>
      <c r="G160" s="35">
        <v>4970</v>
      </c>
      <c r="H160" s="36">
        <f>IFERROR(INDEX(Masters!$D$5:$D$16,MATCH(D160,Masters!$A$5:$A$16,0)),"")</f>
        <v>9.5</v>
      </c>
      <c r="I160" s="37">
        <f t="shared" si="10"/>
        <v>47215</v>
      </c>
      <c r="J160" s="33" t="s">
        <v>129</v>
      </c>
      <c r="K160" s="38">
        <f>IF(OR(B160="",D160=""),"",IFERROR(B160+VLOOKUP(D160,Masters!$A$5:$E$16,5,FALSE()),""))</f>
        <v>46229</v>
      </c>
      <c r="L160" s="13">
        <v>46230</v>
      </c>
      <c r="M160" s="33" t="s">
        <v>104</v>
      </c>
      <c r="N160" s="34">
        <f t="shared" si="11"/>
        <v>1</v>
      </c>
      <c r="O160" s="34" t="str">
        <f t="shared" si="12"/>
        <v>No</v>
      </c>
      <c r="P160" s="39">
        <f t="shared" si="13"/>
        <v>46204</v>
      </c>
      <c r="Q160" s="34" t="str">
        <f t="shared" si="14"/>
        <v>OK</v>
      </c>
    </row>
    <row r="161" spans="1:17" x14ac:dyDescent="0.3">
      <c r="A161" s="33" t="s">
        <v>310</v>
      </c>
      <c r="B161" s="13">
        <v>46223</v>
      </c>
      <c r="C161" s="33" t="s">
        <v>180</v>
      </c>
      <c r="D161" s="33" t="s">
        <v>135</v>
      </c>
      <c r="E161" s="34" t="str">
        <f>IFERROR(VLOOKUP(D161,Masters!$A$5:$E$16,2,FALSE()),"")</f>
        <v>Delhi</v>
      </c>
      <c r="F161" s="34" t="str">
        <f>IFERROR(VLOOKUP(D161,Masters!$A$5:$E$16,3,FALSE()),"")</f>
        <v>Lucknow</v>
      </c>
      <c r="G161" s="35">
        <v>5640</v>
      </c>
      <c r="H161" s="36">
        <f>IFERROR(INDEX(Masters!$D$5:$D$16,MATCH(D161,Masters!$A$5:$A$16,0)),"")</f>
        <v>5.2</v>
      </c>
      <c r="I161" s="37">
        <f t="shared" si="10"/>
        <v>29328</v>
      </c>
      <c r="J161" s="33" t="s">
        <v>136</v>
      </c>
      <c r="K161" s="38">
        <f>IF(OR(B161="",D161=""),"",IFERROR(B161+VLOOKUP(D161,Masters!$A$5:$E$16,5,FALSE()),""))</f>
        <v>46226</v>
      </c>
      <c r="L161" s="13">
        <v>46227</v>
      </c>
      <c r="M161" s="33" t="s">
        <v>104</v>
      </c>
      <c r="N161" s="34">
        <f t="shared" si="11"/>
        <v>1</v>
      </c>
      <c r="O161" s="34" t="str">
        <f t="shared" si="12"/>
        <v>No</v>
      </c>
      <c r="P161" s="39">
        <f t="shared" si="13"/>
        <v>46204</v>
      </c>
      <c r="Q161" s="34" t="str">
        <f t="shared" si="14"/>
        <v>OK</v>
      </c>
    </row>
    <row r="162" spans="1:17" x14ac:dyDescent="0.3">
      <c r="A162" s="33" t="s">
        <v>311</v>
      </c>
      <c r="B162" s="13">
        <v>46223</v>
      </c>
      <c r="C162" s="33" t="s">
        <v>156</v>
      </c>
      <c r="D162" s="33" t="s">
        <v>152</v>
      </c>
      <c r="E162" s="34" t="str">
        <f>IFERROR(VLOOKUP(D162,Masters!$A$5:$E$16,2,FALSE()),"")</f>
        <v>Delhi</v>
      </c>
      <c r="F162" s="34" t="str">
        <f>IFERROR(VLOOKUP(D162,Masters!$A$5:$E$16,3,FALSE()),"")</f>
        <v>Dehradun</v>
      </c>
      <c r="G162" s="35">
        <v>5110</v>
      </c>
      <c r="H162" s="36">
        <f>IFERROR(INDEX(Masters!$D$5:$D$16,MATCH(D162,Masters!$A$5:$A$16,0)),"")</f>
        <v>4</v>
      </c>
      <c r="I162" s="37">
        <f t="shared" si="10"/>
        <v>20440</v>
      </c>
      <c r="J162" s="33" t="s">
        <v>136</v>
      </c>
      <c r="K162" s="38">
        <f>IF(OR(B162="",D162=""),"",IFERROR(B162+VLOOKUP(D162,Masters!$A$5:$E$16,5,FALSE()),""))</f>
        <v>46225</v>
      </c>
      <c r="L162" s="13">
        <v>46225</v>
      </c>
      <c r="M162" s="33" t="s">
        <v>104</v>
      </c>
      <c r="N162" s="34">
        <f t="shared" si="11"/>
        <v>0</v>
      </c>
      <c r="O162" s="34" t="str">
        <f t="shared" si="12"/>
        <v>Yes</v>
      </c>
      <c r="P162" s="39">
        <f t="shared" si="13"/>
        <v>46204</v>
      </c>
      <c r="Q162" s="34" t="str">
        <f t="shared" si="14"/>
        <v>OK</v>
      </c>
    </row>
    <row r="163" spans="1:17" x14ac:dyDescent="0.3">
      <c r="A163" s="33" t="s">
        <v>312</v>
      </c>
      <c r="B163" s="13">
        <v>46224</v>
      </c>
      <c r="C163" s="33" t="s">
        <v>146</v>
      </c>
      <c r="D163" s="33" t="s">
        <v>154</v>
      </c>
      <c r="E163" s="34" t="str">
        <f>IFERROR(VLOOKUP(D163,Masters!$A$5:$E$16,2,FALSE()),"")</f>
        <v>Delhi</v>
      </c>
      <c r="F163" s="34" t="str">
        <f>IFERROR(VLOOKUP(D163,Masters!$A$5:$E$16,3,FALSE()),"")</f>
        <v>Bhopal</v>
      </c>
      <c r="G163" s="35">
        <v>4560</v>
      </c>
      <c r="H163" s="36">
        <f>IFERROR(INDEX(Masters!$D$5:$D$16,MATCH(D163,Masters!$A$5:$A$16,0)),"")</f>
        <v>8</v>
      </c>
      <c r="I163" s="37">
        <f t="shared" si="10"/>
        <v>36480</v>
      </c>
      <c r="J163" s="33" t="s">
        <v>129</v>
      </c>
      <c r="K163" s="38">
        <f>IF(OR(B163="",D163=""),"",IFERROR(B163+VLOOKUP(D163,Masters!$A$5:$E$16,5,FALSE()),""))</f>
        <v>46229</v>
      </c>
      <c r="L163" s="13">
        <v>46231</v>
      </c>
      <c r="M163" s="33" t="s">
        <v>104</v>
      </c>
      <c r="N163" s="34">
        <f t="shared" si="11"/>
        <v>2</v>
      </c>
      <c r="O163" s="34" t="str">
        <f t="shared" si="12"/>
        <v>No</v>
      </c>
      <c r="P163" s="39">
        <f t="shared" si="13"/>
        <v>46204</v>
      </c>
      <c r="Q163" s="34" t="str">
        <f t="shared" si="14"/>
        <v>OK</v>
      </c>
    </row>
    <row r="164" spans="1:17" x14ac:dyDescent="0.3">
      <c r="A164" s="33" t="s">
        <v>313</v>
      </c>
      <c r="B164" s="13">
        <v>46224</v>
      </c>
      <c r="C164" s="33" t="s">
        <v>149</v>
      </c>
      <c r="D164" s="33" t="s">
        <v>140</v>
      </c>
      <c r="E164" s="34" t="str">
        <f>IFERROR(VLOOKUP(D164,Masters!$A$5:$E$16,2,FALSE()),"")</f>
        <v>Delhi</v>
      </c>
      <c r="F164" s="34" t="str">
        <f>IFERROR(VLOOKUP(D164,Masters!$A$5:$E$16,3,FALSE()),"")</f>
        <v>Mumbai</v>
      </c>
      <c r="G164" s="35">
        <v>2770</v>
      </c>
      <c r="H164" s="36">
        <f>IFERROR(INDEX(Masters!$D$5:$D$16,MATCH(D164,Masters!$A$5:$A$16,0)),"")</f>
        <v>9.5</v>
      </c>
      <c r="I164" s="37">
        <f t="shared" si="10"/>
        <v>26315</v>
      </c>
      <c r="J164" s="33" t="s">
        <v>129</v>
      </c>
      <c r="K164" s="38">
        <f>IF(OR(B164="",D164=""),"",IFERROR(B164+VLOOKUP(D164,Masters!$A$5:$E$16,5,FALSE()),""))</f>
        <v>46230</v>
      </c>
      <c r="L164" s="13">
        <v>46230</v>
      </c>
      <c r="M164" s="33" t="s">
        <v>104</v>
      </c>
      <c r="N164" s="34">
        <f t="shared" si="11"/>
        <v>0</v>
      </c>
      <c r="O164" s="34" t="str">
        <f t="shared" si="12"/>
        <v>Yes</v>
      </c>
      <c r="P164" s="39">
        <f t="shared" si="13"/>
        <v>46204</v>
      </c>
      <c r="Q164" s="34" t="str">
        <f t="shared" si="14"/>
        <v>OK</v>
      </c>
    </row>
    <row r="165" spans="1:17" x14ac:dyDescent="0.3">
      <c r="A165" s="33" t="s">
        <v>314</v>
      </c>
      <c r="B165" s="13">
        <v>46224</v>
      </c>
      <c r="C165" s="33" t="s">
        <v>127</v>
      </c>
      <c r="D165" s="33" t="s">
        <v>138</v>
      </c>
      <c r="E165" s="34" t="str">
        <f>IFERROR(VLOOKUP(D165,Masters!$A$5:$E$16,2,FALSE()),"")</f>
        <v>Delhi</v>
      </c>
      <c r="F165" s="34" t="str">
        <f>IFERROR(VLOOKUP(D165,Masters!$A$5:$E$16,3,FALSE()),"")</f>
        <v>Kolkata</v>
      </c>
      <c r="G165" s="35">
        <v>5980</v>
      </c>
      <c r="H165" s="36">
        <f>IFERROR(INDEX(Masters!$D$5:$D$16,MATCH(D165,Masters!$A$5:$A$16,0)),"")</f>
        <v>12</v>
      </c>
      <c r="I165" s="37">
        <f t="shared" si="10"/>
        <v>71760</v>
      </c>
      <c r="J165" s="33" t="s">
        <v>136</v>
      </c>
      <c r="K165" s="38">
        <f>IF(OR(B165="",D165=""),"",IFERROR(B165+VLOOKUP(D165,Masters!$A$5:$E$16,5,FALSE()),""))</f>
        <v>46231</v>
      </c>
      <c r="L165" s="13">
        <v>46232</v>
      </c>
      <c r="M165" s="33" t="s">
        <v>104</v>
      </c>
      <c r="N165" s="34">
        <f t="shared" si="11"/>
        <v>1</v>
      </c>
      <c r="O165" s="34" t="str">
        <f t="shared" si="12"/>
        <v>No</v>
      </c>
      <c r="P165" s="39">
        <f t="shared" si="13"/>
        <v>46204</v>
      </c>
      <c r="Q165" s="34" t="str">
        <f t="shared" si="14"/>
        <v>OK</v>
      </c>
    </row>
    <row r="166" spans="1:17" x14ac:dyDescent="0.3">
      <c r="A166" s="33" t="s">
        <v>315</v>
      </c>
      <c r="B166" s="13">
        <v>46224</v>
      </c>
      <c r="C166" s="33" t="s">
        <v>142</v>
      </c>
      <c r="D166" s="33" t="s">
        <v>132</v>
      </c>
      <c r="E166" s="34" t="str">
        <f>IFERROR(VLOOKUP(D166,Masters!$A$5:$E$16,2,FALSE()),"")</f>
        <v>Delhi</v>
      </c>
      <c r="F166" s="34" t="str">
        <f>IFERROR(VLOOKUP(D166,Masters!$A$5:$E$16,3,FALSE()),"")</f>
        <v>Ahmedabad</v>
      </c>
      <c r="G166" s="35">
        <v>4000</v>
      </c>
      <c r="H166" s="36">
        <f>IFERROR(INDEX(Masters!$D$5:$D$16,MATCH(D166,Masters!$A$5:$A$16,0)),"")</f>
        <v>7.5</v>
      </c>
      <c r="I166" s="37">
        <f t="shared" si="10"/>
        <v>30000</v>
      </c>
      <c r="J166" s="33" t="s">
        <v>129</v>
      </c>
      <c r="K166" s="38">
        <f>IF(OR(B166="",D166=""),"",IFERROR(B166+VLOOKUP(D166,Masters!$A$5:$E$16,5,FALSE()),""))</f>
        <v>46228</v>
      </c>
      <c r="L166" s="13">
        <v>46227</v>
      </c>
      <c r="M166" s="33" t="s">
        <v>104</v>
      </c>
      <c r="N166" s="34">
        <f t="shared" si="11"/>
        <v>0</v>
      </c>
      <c r="O166" s="34" t="str">
        <f t="shared" si="12"/>
        <v>Yes</v>
      </c>
      <c r="P166" s="39">
        <f t="shared" si="13"/>
        <v>46204</v>
      </c>
      <c r="Q166" s="34" t="str">
        <f t="shared" si="14"/>
        <v>OK</v>
      </c>
    </row>
    <row r="167" spans="1:17" x14ac:dyDescent="0.3">
      <c r="A167" s="33" t="s">
        <v>316</v>
      </c>
      <c r="B167" s="13">
        <v>46224</v>
      </c>
      <c r="C167" s="33" t="s">
        <v>142</v>
      </c>
      <c r="D167" s="33" t="s">
        <v>128</v>
      </c>
      <c r="E167" s="34" t="str">
        <f>IFERROR(VLOOKUP(D167,Masters!$A$5:$E$16,2,FALSE()),"")</f>
        <v>Ghaziabad</v>
      </c>
      <c r="F167" s="34" t="str">
        <f>IFERROR(VLOOKUP(D167,Masters!$A$5:$E$16,3,FALSE()),"")</f>
        <v>Meerut</v>
      </c>
      <c r="G167" s="35">
        <v>5640</v>
      </c>
      <c r="H167" s="36">
        <f>IFERROR(INDEX(Masters!$D$5:$D$16,MATCH(D167,Masters!$A$5:$A$16,0)),"")</f>
        <v>1.8</v>
      </c>
      <c r="I167" s="37">
        <f t="shared" si="10"/>
        <v>10152</v>
      </c>
      <c r="J167" s="33" t="s">
        <v>136</v>
      </c>
      <c r="K167" s="38">
        <f>IF(OR(B167="",D167=""),"",IFERROR(B167+VLOOKUP(D167,Masters!$A$5:$E$16,5,FALSE()),""))</f>
        <v>46225</v>
      </c>
      <c r="L167" s="13">
        <v>46225</v>
      </c>
      <c r="M167" s="33" t="s">
        <v>104</v>
      </c>
      <c r="N167" s="34">
        <f t="shared" si="11"/>
        <v>0</v>
      </c>
      <c r="O167" s="34" t="str">
        <f t="shared" si="12"/>
        <v>Yes</v>
      </c>
      <c r="P167" s="39">
        <f t="shared" si="13"/>
        <v>46204</v>
      </c>
      <c r="Q167" s="34" t="str">
        <f t="shared" si="14"/>
        <v>OK</v>
      </c>
    </row>
    <row r="168" spans="1:17" x14ac:dyDescent="0.3">
      <c r="A168" s="33" t="s">
        <v>317</v>
      </c>
      <c r="B168" s="13">
        <v>46224</v>
      </c>
      <c r="C168" s="33" t="s">
        <v>127</v>
      </c>
      <c r="D168" s="33" t="s">
        <v>128</v>
      </c>
      <c r="E168" s="34" t="str">
        <f>IFERROR(VLOOKUP(D168,Masters!$A$5:$E$16,2,FALSE()),"")</f>
        <v>Ghaziabad</v>
      </c>
      <c r="F168" s="34" t="str">
        <f>IFERROR(VLOOKUP(D168,Masters!$A$5:$E$16,3,FALSE()),"")</f>
        <v>Meerut</v>
      </c>
      <c r="G168" s="35">
        <v>4840</v>
      </c>
      <c r="H168" s="36">
        <f>IFERROR(INDEX(Masters!$D$5:$D$16,MATCH(D168,Masters!$A$5:$A$16,0)),"")</f>
        <v>1.8</v>
      </c>
      <c r="I168" s="37">
        <f t="shared" si="10"/>
        <v>8712</v>
      </c>
      <c r="J168" s="33" t="s">
        <v>129</v>
      </c>
      <c r="K168" s="38">
        <f>IF(OR(B168="",D168=""),"",IFERROR(B168+VLOOKUP(D168,Masters!$A$5:$E$16,5,FALSE()),""))</f>
        <v>46225</v>
      </c>
      <c r="L168" s="13">
        <v>46225</v>
      </c>
      <c r="M168" s="33" t="s">
        <v>104</v>
      </c>
      <c r="N168" s="34">
        <f t="shared" si="11"/>
        <v>0</v>
      </c>
      <c r="O168" s="34" t="str">
        <f t="shared" si="12"/>
        <v>Yes</v>
      </c>
      <c r="P168" s="39">
        <f t="shared" si="13"/>
        <v>46204</v>
      </c>
      <c r="Q168" s="34" t="str">
        <f t="shared" si="14"/>
        <v>OK</v>
      </c>
    </row>
    <row r="169" spans="1:17" x14ac:dyDescent="0.3">
      <c r="A169" s="33" t="s">
        <v>318</v>
      </c>
      <c r="B169" s="13">
        <v>46225</v>
      </c>
      <c r="C169" s="33" t="s">
        <v>167</v>
      </c>
      <c r="D169" s="33" t="s">
        <v>135</v>
      </c>
      <c r="E169" s="34" t="str">
        <f>IFERROR(VLOOKUP(D169,Masters!$A$5:$E$16,2,FALSE()),"")</f>
        <v>Delhi</v>
      </c>
      <c r="F169" s="34" t="str">
        <f>IFERROR(VLOOKUP(D169,Masters!$A$5:$E$16,3,FALSE()),"")</f>
        <v>Lucknow</v>
      </c>
      <c r="G169" s="35">
        <v>4010</v>
      </c>
      <c r="H169" s="36">
        <f>IFERROR(INDEX(Masters!$D$5:$D$16,MATCH(D169,Masters!$A$5:$A$16,0)),"")</f>
        <v>5.2</v>
      </c>
      <c r="I169" s="37">
        <f t="shared" si="10"/>
        <v>20852</v>
      </c>
      <c r="J169" s="33" t="s">
        <v>129</v>
      </c>
      <c r="K169" s="38">
        <f>IF(OR(B169="",D169=""),"",IFERROR(B169+VLOOKUP(D169,Masters!$A$5:$E$16,5,FALSE()),""))</f>
        <v>46228</v>
      </c>
      <c r="L169" s="13">
        <v>46230</v>
      </c>
      <c r="M169" s="33" t="s">
        <v>104</v>
      </c>
      <c r="N169" s="34">
        <f t="shared" si="11"/>
        <v>2</v>
      </c>
      <c r="O169" s="34" t="str">
        <f t="shared" si="12"/>
        <v>No</v>
      </c>
      <c r="P169" s="39">
        <f t="shared" si="13"/>
        <v>46204</v>
      </c>
      <c r="Q169" s="34" t="str">
        <f t="shared" si="14"/>
        <v>OK</v>
      </c>
    </row>
    <row r="170" spans="1:17" x14ac:dyDescent="0.3">
      <c r="A170" s="33" t="s">
        <v>319</v>
      </c>
      <c r="B170" s="13">
        <v>46225</v>
      </c>
      <c r="C170" s="33" t="s">
        <v>151</v>
      </c>
      <c r="D170" s="33" t="s">
        <v>140</v>
      </c>
      <c r="E170" s="34" t="str">
        <f>IFERROR(VLOOKUP(D170,Masters!$A$5:$E$16,2,FALSE()),"")</f>
        <v>Delhi</v>
      </c>
      <c r="F170" s="34" t="str">
        <f>IFERROR(VLOOKUP(D170,Masters!$A$5:$E$16,3,FALSE()),"")</f>
        <v>Mumbai</v>
      </c>
      <c r="G170" s="35">
        <v>7130</v>
      </c>
      <c r="H170" s="36">
        <f>IFERROR(INDEX(Masters!$D$5:$D$16,MATCH(D170,Masters!$A$5:$A$16,0)),"")</f>
        <v>9.5</v>
      </c>
      <c r="I170" s="37">
        <f t="shared" si="10"/>
        <v>67735</v>
      </c>
      <c r="J170" s="33" t="s">
        <v>136</v>
      </c>
      <c r="K170" s="38">
        <f>IF(OR(B170="",D170=""),"",IFERROR(B170+VLOOKUP(D170,Masters!$A$5:$E$16,5,FALSE()),""))</f>
        <v>46231</v>
      </c>
      <c r="L170" s="13">
        <v>46230</v>
      </c>
      <c r="M170" s="33" t="s">
        <v>104</v>
      </c>
      <c r="N170" s="34">
        <f t="shared" si="11"/>
        <v>0</v>
      </c>
      <c r="O170" s="34" t="str">
        <f t="shared" si="12"/>
        <v>Yes</v>
      </c>
      <c r="P170" s="39">
        <f t="shared" si="13"/>
        <v>46204</v>
      </c>
      <c r="Q170" s="34" t="str">
        <f t="shared" si="14"/>
        <v>OK</v>
      </c>
    </row>
    <row r="171" spans="1:17" x14ac:dyDescent="0.3">
      <c r="A171" s="33" t="s">
        <v>320</v>
      </c>
      <c r="B171" s="13">
        <v>46225</v>
      </c>
      <c r="C171" s="33" t="s">
        <v>131</v>
      </c>
      <c r="D171" s="33" t="s">
        <v>184</v>
      </c>
      <c r="E171" s="34" t="str">
        <f>IFERROR(VLOOKUP(D171,Masters!$A$5:$E$16,2,FALSE()),"")</f>
        <v>Delhi</v>
      </c>
      <c r="F171" s="34" t="str">
        <f>IFERROR(VLOOKUP(D171,Masters!$A$5:$E$16,3,FALSE()),"")</f>
        <v>Agra</v>
      </c>
      <c r="G171" s="35">
        <v>3870</v>
      </c>
      <c r="H171" s="36">
        <f>IFERROR(INDEX(Masters!$D$5:$D$16,MATCH(D171,Masters!$A$5:$A$16,0)),"")</f>
        <v>2.8</v>
      </c>
      <c r="I171" s="37">
        <f t="shared" si="10"/>
        <v>10836</v>
      </c>
      <c r="J171" s="33" t="s">
        <v>129</v>
      </c>
      <c r="K171" s="38">
        <f>IF(OR(B171="",D171=""),"",IFERROR(B171+VLOOKUP(D171,Masters!$A$5:$E$16,5,FALSE()),""))</f>
        <v>46227</v>
      </c>
      <c r="L171" s="13">
        <v>46226</v>
      </c>
      <c r="M171" s="33" t="s">
        <v>104</v>
      </c>
      <c r="N171" s="34">
        <f t="shared" si="11"/>
        <v>0</v>
      </c>
      <c r="O171" s="34" t="str">
        <f t="shared" si="12"/>
        <v>Yes</v>
      </c>
      <c r="P171" s="39">
        <f t="shared" si="13"/>
        <v>46204</v>
      </c>
      <c r="Q171" s="34" t="str">
        <f t="shared" si="14"/>
        <v>OK</v>
      </c>
    </row>
    <row r="172" spans="1:17" x14ac:dyDescent="0.3">
      <c r="A172" s="33" t="s">
        <v>321</v>
      </c>
      <c r="B172" s="13">
        <v>46225</v>
      </c>
      <c r="C172" s="33" t="s">
        <v>146</v>
      </c>
      <c r="D172" s="33" t="s">
        <v>132</v>
      </c>
      <c r="E172" s="34" t="str">
        <f>IFERROR(VLOOKUP(D172,Masters!$A$5:$E$16,2,FALSE()),"")</f>
        <v>Delhi</v>
      </c>
      <c r="F172" s="34" t="str">
        <f>IFERROR(VLOOKUP(D172,Masters!$A$5:$E$16,3,FALSE()),"")</f>
        <v>Ahmedabad</v>
      </c>
      <c r="G172" s="35">
        <v>6410</v>
      </c>
      <c r="H172" s="36">
        <f>IFERROR(INDEX(Masters!$D$5:$D$16,MATCH(D172,Masters!$A$5:$A$16,0)),"")</f>
        <v>7.5</v>
      </c>
      <c r="I172" s="37">
        <f t="shared" si="10"/>
        <v>48075</v>
      </c>
      <c r="J172" s="33" t="s">
        <v>136</v>
      </c>
      <c r="K172" s="38">
        <f>IF(OR(B172="",D172=""),"",IFERROR(B172+VLOOKUP(D172,Masters!$A$5:$E$16,5,FALSE()),""))</f>
        <v>46229</v>
      </c>
      <c r="L172" s="13">
        <v>46232</v>
      </c>
      <c r="M172" s="33" t="s">
        <v>104</v>
      </c>
      <c r="N172" s="34">
        <f t="shared" si="11"/>
        <v>3</v>
      </c>
      <c r="O172" s="34" t="str">
        <f t="shared" si="12"/>
        <v>No</v>
      </c>
      <c r="P172" s="39">
        <f t="shared" si="13"/>
        <v>46204</v>
      </c>
      <c r="Q172" s="34" t="str">
        <f t="shared" si="14"/>
        <v>OK</v>
      </c>
    </row>
    <row r="173" spans="1:17" x14ac:dyDescent="0.3">
      <c r="A173" s="33" t="s">
        <v>322</v>
      </c>
      <c r="B173" s="13">
        <v>46226</v>
      </c>
      <c r="C173" s="33" t="s">
        <v>149</v>
      </c>
      <c r="D173" s="33" t="s">
        <v>161</v>
      </c>
      <c r="E173" s="34" t="str">
        <f>IFERROR(VLOOKUP(D173,Masters!$A$5:$E$16,2,FALSE()),"")</f>
        <v>Delhi</v>
      </c>
      <c r="F173" s="34" t="str">
        <f>IFERROR(VLOOKUP(D173,Masters!$A$5:$E$16,3,FALSE()),"")</f>
        <v>Chandigarh</v>
      </c>
      <c r="G173" s="35">
        <v>6830</v>
      </c>
      <c r="H173" s="36">
        <f>IFERROR(INDEX(Masters!$D$5:$D$16,MATCH(D173,Masters!$A$5:$A$16,0)),"")</f>
        <v>3</v>
      </c>
      <c r="I173" s="37">
        <f t="shared" si="10"/>
        <v>20490</v>
      </c>
      <c r="J173" s="33" t="s">
        <v>136</v>
      </c>
      <c r="K173" s="38">
        <f>IF(OR(B173="",D173=""),"",IFERROR(B173+VLOOKUP(D173,Masters!$A$5:$E$16,5,FALSE()),""))</f>
        <v>46228</v>
      </c>
      <c r="L173" s="13">
        <v>46231</v>
      </c>
      <c r="M173" s="33" t="s">
        <v>104</v>
      </c>
      <c r="N173" s="34">
        <f t="shared" si="11"/>
        <v>3</v>
      </c>
      <c r="O173" s="34" t="str">
        <f t="shared" si="12"/>
        <v>No</v>
      </c>
      <c r="P173" s="39">
        <f t="shared" si="13"/>
        <v>46204</v>
      </c>
      <c r="Q173" s="34" t="str">
        <f t="shared" si="14"/>
        <v>OK</v>
      </c>
    </row>
    <row r="174" spans="1:17" x14ac:dyDescent="0.3">
      <c r="A174" s="33" t="s">
        <v>323</v>
      </c>
      <c r="B174" s="13">
        <v>46226</v>
      </c>
      <c r="C174" s="33" t="s">
        <v>131</v>
      </c>
      <c r="D174" s="33" t="s">
        <v>184</v>
      </c>
      <c r="E174" s="34" t="str">
        <f>IFERROR(VLOOKUP(D174,Masters!$A$5:$E$16,2,FALSE()),"")</f>
        <v>Delhi</v>
      </c>
      <c r="F174" s="34" t="str">
        <f>IFERROR(VLOOKUP(D174,Masters!$A$5:$E$16,3,FALSE()),"")</f>
        <v>Agra</v>
      </c>
      <c r="G174" s="35">
        <v>4930</v>
      </c>
      <c r="H174" s="36">
        <f>IFERROR(INDEX(Masters!$D$5:$D$16,MATCH(D174,Masters!$A$5:$A$16,0)),"")</f>
        <v>2.8</v>
      </c>
      <c r="I174" s="37">
        <f t="shared" si="10"/>
        <v>13804</v>
      </c>
      <c r="J174" s="33" t="s">
        <v>129</v>
      </c>
      <c r="K174" s="38">
        <f>IF(OR(B174="",D174=""),"",IFERROR(B174+VLOOKUP(D174,Masters!$A$5:$E$16,5,FALSE()),""))</f>
        <v>46228</v>
      </c>
      <c r="L174" s="13">
        <v>46231</v>
      </c>
      <c r="M174" s="33" t="s">
        <v>104</v>
      </c>
      <c r="N174" s="34">
        <f t="shared" si="11"/>
        <v>3</v>
      </c>
      <c r="O174" s="34" t="str">
        <f t="shared" si="12"/>
        <v>No</v>
      </c>
      <c r="P174" s="39">
        <f t="shared" si="13"/>
        <v>46204</v>
      </c>
      <c r="Q174" s="34" t="str">
        <f t="shared" si="14"/>
        <v>OK</v>
      </c>
    </row>
    <row r="175" spans="1:17" x14ac:dyDescent="0.3">
      <c r="A175" s="33" t="s">
        <v>324</v>
      </c>
      <c r="B175" s="13">
        <v>46227</v>
      </c>
      <c r="C175" s="33" t="s">
        <v>142</v>
      </c>
      <c r="D175" s="33"/>
      <c r="E175" s="34" t="str">
        <f>IFERROR(VLOOKUP(D175,Masters!$A$5:$E$16,2,FALSE()),"")</f>
        <v/>
      </c>
      <c r="F175" s="34" t="str">
        <f>IFERROR(VLOOKUP(D175,Masters!$A$5:$E$16,3,FALSE()),"")</f>
        <v/>
      </c>
      <c r="G175" s="35">
        <v>5090</v>
      </c>
      <c r="H175" s="36" t="str">
        <f>IFERROR(INDEX(Masters!$D$5:$D$16,MATCH(D175,Masters!$A$5:$A$16,0)),"")</f>
        <v/>
      </c>
      <c r="I175" s="37" t="str">
        <f t="shared" si="10"/>
        <v/>
      </c>
      <c r="J175" s="33" t="s">
        <v>136</v>
      </c>
      <c r="K175" s="38" t="str">
        <f>IF(OR(B175="",D175=""),"",IFERROR(B175+VLOOKUP(D175,Masters!$A$5:$E$16,5,FALSE()),""))</f>
        <v/>
      </c>
      <c r="L175" s="13">
        <v>46232</v>
      </c>
      <c r="M175" s="33" t="s">
        <v>104</v>
      </c>
      <c r="N175" s="34" t="str">
        <f t="shared" si="11"/>
        <v/>
      </c>
      <c r="O175" s="34" t="str">
        <f t="shared" si="12"/>
        <v/>
      </c>
      <c r="P175" s="39">
        <f t="shared" si="13"/>
        <v>46204</v>
      </c>
      <c r="Q175" s="34" t="str">
        <f t="shared" si="14"/>
        <v>Missing Field</v>
      </c>
    </row>
    <row r="176" spans="1:17" x14ac:dyDescent="0.3">
      <c r="A176" s="33" t="s">
        <v>325</v>
      </c>
      <c r="B176" s="13">
        <v>46227</v>
      </c>
      <c r="C176" s="33" t="s">
        <v>142</v>
      </c>
      <c r="D176" s="33" t="s">
        <v>220</v>
      </c>
      <c r="E176" s="34" t="str">
        <f>IFERROR(VLOOKUP(D176,Masters!$A$5:$E$16,2,FALSE()),"")</f>
        <v>Delhi</v>
      </c>
      <c r="F176" s="34" t="str">
        <f>IFERROR(VLOOKUP(D176,Masters!$A$5:$E$16,3,FALSE()),"")</f>
        <v>Indore</v>
      </c>
      <c r="G176" s="35">
        <v>4710</v>
      </c>
      <c r="H176" s="36">
        <f>IFERROR(INDEX(Masters!$D$5:$D$16,MATCH(D176,Masters!$A$5:$A$16,0)),"")</f>
        <v>9</v>
      </c>
      <c r="I176" s="37">
        <f t="shared" si="10"/>
        <v>42390</v>
      </c>
      <c r="J176" s="33" t="s">
        <v>129</v>
      </c>
      <c r="K176" s="38">
        <f>IF(OR(B176="",D176=""),"",IFERROR(B176+VLOOKUP(D176,Masters!$A$5:$E$16,5,FALSE()),""))</f>
        <v>46232</v>
      </c>
      <c r="L176" s="13">
        <v>46231</v>
      </c>
      <c r="M176" s="33" t="s">
        <v>104</v>
      </c>
      <c r="N176" s="34">
        <f t="shared" si="11"/>
        <v>0</v>
      </c>
      <c r="O176" s="34" t="str">
        <f t="shared" si="12"/>
        <v>Yes</v>
      </c>
      <c r="P176" s="39">
        <f t="shared" si="13"/>
        <v>46204</v>
      </c>
      <c r="Q176" s="34" t="str">
        <f t="shared" si="14"/>
        <v>OK</v>
      </c>
    </row>
    <row r="177" spans="1:17" x14ac:dyDescent="0.3">
      <c r="A177" s="33" t="s">
        <v>326</v>
      </c>
      <c r="B177" s="13">
        <v>46227</v>
      </c>
      <c r="C177" s="33" t="s">
        <v>131</v>
      </c>
      <c r="D177" s="33" t="s">
        <v>128</v>
      </c>
      <c r="E177" s="34" t="str">
        <f>IFERROR(VLOOKUP(D177,Masters!$A$5:$E$16,2,FALSE()),"")</f>
        <v>Ghaziabad</v>
      </c>
      <c r="F177" s="34" t="str">
        <f>IFERROR(VLOOKUP(D177,Masters!$A$5:$E$16,3,FALSE()),"")</f>
        <v>Meerut</v>
      </c>
      <c r="G177" s="35">
        <v>9470</v>
      </c>
      <c r="H177" s="36">
        <f>IFERROR(INDEX(Masters!$D$5:$D$16,MATCH(D177,Masters!$A$5:$A$16,0)),"")</f>
        <v>1.8</v>
      </c>
      <c r="I177" s="37">
        <f t="shared" si="10"/>
        <v>17046</v>
      </c>
      <c r="J177" s="33" t="s">
        <v>157</v>
      </c>
      <c r="K177" s="38">
        <f>IF(OR(B177="",D177=""),"",IFERROR(B177+VLOOKUP(D177,Masters!$A$5:$E$16,5,FALSE()),""))</f>
        <v>46228</v>
      </c>
      <c r="L177" s="13">
        <v>46229</v>
      </c>
      <c r="M177" s="33" t="s">
        <v>104</v>
      </c>
      <c r="N177" s="34">
        <f t="shared" si="11"/>
        <v>1</v>
      </c>
      <c r="O177" s="34" t="str">
        <f t="shared" si="12"/>
        <v>No</v>
      </c>
      <c r="P177" s="39">
        <f t="shared" si="13"/>
        <v>46204</v>
      </c>
      <c r="Q177" s="34" t="str">
        <f t="shared" si="14"/>
        <v>OK</v>
      </c>
    </row>
    <row r="178" spans="1:17" x14ac:dyDescent="0.3">
      <c r="A178" s="33" t="s">
        <v>327</v>
      </c>
      <c r="B178" s="13">
        <v>46227</v>
      </c>
      <c r="C178" s="33" t="s">
        <v>151</v>
      </c>
      <c r="D178" s="33" t="s">
        <v>140</v>
      </c>
      <c r="E178" s="34" t="str">
        <f>IFERROR(VLOOKUP(D178,Masters!$A$5:$E$16,2,FALSE()),"")</f>
        <v>Delhi</v>
      </c>
      <c r="F178" s="34" t="str">
        <f>IFERROR(VLOOKUP(D178,Masters!$A$5:$E$16,3,FALSE()),"")</f>
        <v>Mumbai</v>
      </c>
      <c r="G178" s="35">
        <v>7010</v>
      </c>
      <c r="H178" s="36">
        <f>IFERROR(INDEX(Masters!$D$5:$D$16,MATCH(D178,Masters!$A$5:$A$16,0)),"")</f>
        <v>9.5</v>
      </c>
      <c r="I178" s="37">
        <f t="shared" si="10"/>
        <v>66595</v>
      </c>
      <c r="J178" s="33" t="s">
        <v>136</v>
      </c>
      <c r="K178" s="38">
        <f>IF(OR(B178="",D178=""),"",IFERROR(B178+VLOOKUP(D178,Masters!$A$5:$E$16,5,FALSE()),""))</f>
        <v>46233</v>
      </c>
      <c r="L178" s="13">
        <v>46238</v>
      </c>
      <c r="M178" s="33" t="s">
        <v>104</v>
      </c>
      <c r="N178" s="34">
        <f t="shared" si="11"/>
        <v>5</v>
      </c>
      <c r="O178" s="34" t="str">
        <f t="shared" si="12"/>
        <v>No</v>
      </c>
      <c r="P178" s="39">
        <f t="shared" si="13"/>
        <v>46204</v>
      </c>
      <c r="Q178" s="34" t="str">
        <f t="shared" si="14"/>
        <v>OK</v>
      </c>
    </row>
    <row r="179" spans="1:17" x14ac:dyDescent="0.3">
      <c r="A179" s="33" t="s">
        <v>328</v>
      </c>
      <c r="B179" s="13">
        <v>46228</v>
      </c>
      <c r="C179" s="33" t="s">
        <v>142</v>
      </c>
      <c r="D179" s="33" t="s">
        <v>132</v>
      </c>
      <c r="E179" s="34" t="str">
        <f>IFERROR(VLOOKUP(D179,Masters!$A$5:$E$16,2,FALSE()),"")</f>
        <v>Delhi</v>
      </c>
      <c r="F179" s="34" t="str">
        <f>IFERROR(VLOOKUP(D179,Masters!$A$5:$E$16,3,FALSE()),"")</f>
        <v>Ahmedabad</v>
      </c>
      <c r="G179" s="35">
        <v>6640</v>
      </c>
      <c r="H179" s="36">
        <f>IFERROR(INDEX(Masters!$D$5:$D$16,MATCH(D179,Masters!$A$5:$A$16,0)),"")</f>
        <v>7.5</v>
      </c>
      <c r="I179" s="37">
        <f t="shared" si="10"/>
        <v>49800</v>
      </c>
      <c r="J179" s="33" t="s">
        <v>136</v>
      </c>
      <c r="K179" s="38">
        <f>IF(OR(B179="",D179=""),"",IFERROR(B179+VLOOKUP(D179,Masters!$A$5:$E$16,5,FALSE()),""))</f>
        <v>46232</v>
      </c>
      <c r="L179" s="13">
        <v>46232</v>
      </c>
      <c r="M179" s="33" t="s">
        <v>104</v>
      </c>
      <c r="N179" s="34">
        <f t="shared" si="11"/>
        <v>0</v>
      </c>
      <c r="O179" s="34" t="str">
        <f t="shared" si="12"/>
        <v>Yes</v>
      </c>
      <c r="P179" s="39">
        <f t="shared" si="13"/>
        <v>46204</v>
      </c>
      <c r="Q179" s="34" t="str">
        <f t="shared" si="14"/>
        <v>OK</v>
      </c>
    </row>
    <row r="180" spans="1:17" x14ac:dyDescent="0.3">
      <c r="A180" s="33" t="s">
        <v>329</v>
      </c>
      <c r="B180" s="13">
        <v>46229</v>
      </c>
      <c r="C180" s="33" t="s">
        <v>151</v>
      </c>
      <c r="D180" s="33" t="s">
        <v>135</v>
      </c>
      <c r="E180" s="34" t="str">
        <f>IFERROR(VLOOKUP(D180,Masters!$A$5:$E$16,2,FALSE()),"")</f>
        <v>Delhi</v>
      </c>
      <c r="F180" s="34" t="str">
        <f>IFERROR(VLOOKUP(D180,Masters!$A$5:$E$16,3,FALSE()),"")</f>
        <v>Lucknow</v>
      </c>
      <c r="G180" s="35">
        <v>5420</v>
      </c>
      <c r="H180" s="36">
        <f>IFERROR(INDEX(Masters!$D$5:$D$16,MATCH(D180,Masters!$A$5:$A$16,0)),"")</f>
        <v>5.2</v>
      </c>
      <c r="I180" s="37">
        <f t="shared" si="10"/>
        <v>28184</v>
      </c>
      <c r="J180" s="33" t="s">
        <v>136</v>
      </c>
      <c r="K180" s="38">
        <f>IF(OR(B180="",D180=""),"",IFERROR(B180+VLOOKUP(D180,Masters!$A$5:$E$16,5,FALSE()),""))</f>
        <v>46232</v>
      </c>
      <c r="L180" s="13">
        <v>46231</v>
      </c>
      <c r="M180" s="33" t="s">
        <v>104</v>
      </c>
      <c r="N180" s="34">
        <f t="shared" si="11"/>
        <v>0</v>
      </c>
      <c r="O180" s="34" t="str">
        <f t="shared" si="12"/>
        <v>Yes</v>
      </c>
      <c r="P180" s="39">
        <f t="shared" si="13"/>
        <v>46204</v>
      </c>
      <c r="Q180" s="34" t="str">
        <f t="shared" si="14"/>
        <v>OK</v>
      </c>
    </row>
    <row r="181" spans="1:17" x14ac:dyDescent="0.3">
      <c r="A181" s="33" t="s">
        <v>330</v>
      </c>
      <c r="B181" s="13">
        <v>46230</v>
      </c>
      <c r="C181" s="33" t="s">
        <v>146</v>
      </c>
      <c r="D181" s="33" t="s">
        <v>152</v>
      </c>
      <c r="E181" s="34" t="str">
        <f>IFERROR(VLOOKUP(D181,Masters!$A$5:$E$16,2,FALSE()),"")</f>
        <v>Delhi</v>
      </c>
      <c r="F181" s="34" t="str">
        <f>IFERROR(VLOOKUP(D181,Masters!$A$5:$E$16,3,FALSE()),"")</f>
        <v>Dehradun</v>
      </c>
      <c r="G181" s="35">
        <v>8290</v>
      </c>
      <c r="H181" s="36">
        <f>IFERROR(INDEX(Masters!$D$5:$D$16,MATCH(D181,Masters!$A$5:$A$16,0)),"")</f>
        <v>4</v>
      </c>
      <c r="I181" s="37">
        <f t="shared" si="10"/>
        <v>33160</v>
      </c>
      <c r="J181" s="33" t="s">
        <v>136</v>
      </c>
      <c r="K181" s="38">
        <f>IF(OR(B181="",D181=""),"",IFERROR(B181+VLOOKUP(D181,Masters!$A$5:$E$16,5,FALSE()),""))</f>
        <v>46232</v>
      </c>
      <c r="L181" s="13">
        <v>46231</v>
      </c>
      <c r="M181" s="33" t="s">
        <v>104</v>
      </c>
      <c r="N181" s="34">
        <f t="shared" si="11"/>
        <v>0</v>
      </c>
      <c r="O181" s="34" t="str">
        <f t="shared" si="12"/>
        <v>Yes</v>
      </c>
      <c r="P181" s="39">
        <f t="shared" si="13"/>
        <v>46204</v>
      </c>
      <c r="Q181" s="34" t="str">
        <f t="shared" si="14"/>
        <v>OK</v>
      </c>
    </row>
    <row r="182" spans="1:17" x14ac:dyDescent="0.3">
      <c r="A182" s="33" t="s">
        <v>331</v>
      </c>
      <c r="B182" s="13">
        <v>46231</v>
      </c>
      <c r="C182" s="33" t="s">
        <v>146</v>
      </c>
      <c r="D182" s="33" t="s">
        <v>154</v>
      </c>
      <c r="E182" s="34" t="str">
        <f>IFERROR(VLOOKUP(D182,Masters!$A$5:$E$16,2,FALSE()),"")</f>
        <v>Delhi</v>
      </c>
      <c r="F182" s="34" t="str">
        <f>IFERROR(VLOOKUP(D182,Masters!$A$5:$E$16,3,FALSE()),"")</f>
        <v>Bhopal</v>
      </c>
      <c r="G182" s="35">
        <v>6330</v>
      </c>
      <c r="H182" s="36">
        <f>IFERROR(INDEX(Masters!$D$5:$D$16,MATCH(D182,Masters!$A$5:$A$16,0)),"")</f>
        <v>8</v>
      </c>
      <c r="I182" s="37">
        <f t="shared" si="10"/>
        <v>50640</v>
      </c>
      <c r="J182" s="33" t="s">
        <v>136</v>
      </c>
      <c r="K182" s="38">
        <f>IF(OR(B182="",D182=""),"",IFERROR(B182+VLOOKUP(D182,Masters!$A$5:$E$16,5,FALSE()),""))</f>
        <v>46236</v>
      </c>
      <c r="L182" s="13">
        <v>46235</v>
      </c>
      <c r="M182" s="33" t="s">
        <v>104</v>
      </c>
      <c r="N182" s="34">
        <f t="shared" si="11"/>
        <v>0</v>
      </c>
      <c r="O182" s="34" t="str">
        <f t="shared" si="12"/>
        <v>Yes</v>
      </c>
      <c r="P182" s="39">
        <f t="shared" si="13"/>
        <v>46204</v>
      </c>
      <c r="Q182" s="34" t="str">
        <f t="shared" si="14"/>
        <v>OK</v>
      </c>
    </row>
    <row r="183" spans="1:17" x14ac:dyDescent="0.3">
      <c r="A183" s="33" t="s">
        <v>332</v>
      </c>
      <c r="B183" s="13">
        <v>46231</v>
      </c>
      <c r="C183" s="33" t="s">
        <v>142</v>
      </c>
      <c r="D183" s="33" t="s">
        <v>161</v>
      </c>
      <c r="E183" s="34" t="str">
        <f>IFERROR(VLOOKUP(D183,Masters!$A$5:$E$16,2,FALSE()),"")</f>
        <v>Delhi</v>
      </c>
      <c r="F183" s="34" t="str">
        <f>IFERROR(VLOOKUP(D183,Masters!$A$5:$E$16,3,FALSE()),"")</f>
        <v>Chandigarh</v>
      </c>
      <c r="G183" s="35">
        <v>4950</v>
      </c>
      <c r="H183" s="36">
        <f>IFERROR(INDEX(Masters!$D$5:$D$16,MATCH(D183,Masters!$A$5:$A$16,0)),"")</f>
        <v>3</v>
      </c>
      <c r="I183" s="37">
        <f t="shared" si="10"/>
        <v>14850</v>
      </c>
      <c r="J183" s="33" t="s">
        <v>129</v>
      </c>
      <c r="K183" s="38">
        <f>IF(OR(B183="",D183=""),"",IFERROR(B183+VLOOKUP(D183,Masters!$A$5:$E$16,5,FALSE()),""))</f>
        <v>46233</v>
      </c>
      <c r="L183" s="13">
        <v>46236</v>
      </c>
      <c r="M183" s="33" t="s">
        <v>104</v>
      </c>
      <c r="N183" s="34">
        <f t="shared" si="11"/>
        <v>3</v>
      </c>
      <c r="O183" s="34" t="str">
        <f t="shared" si="12"/>
        <v>No</v>
      </c>
      <c r="P183" s="39">
        <f t="shared" si="13"/>
        <v>46204</v>
      </c>
      <c r="Q183" s="34" t="str">
        <f t="shared" si="14"/>
        <v>OK</v>
      </c>
    </row>
    <row r="184" spans="1:17" x14ac:dyDescent="0.3">
      <c r="A184" s="33" t="s">
        <v>333</v>
      </c>
      <c r="B184" s="13">
        <v>46232</v>
      </c>
      <c r="C184" s="33" t="s">
        <v>127</v>
      </c>
      <c r="D184" s="33" t="s">
        <v>140</v>
      </c>
      <c r="E184" s="34" t="str">
        <f>IFERROR(VLOOKUP(D184,Masters!$A$5:$E$16,2,FALSE()),"")</f>
        <v>Delhi</v>
      </c>
      <c r="F184" s="34" t="str">
        <f>IFERROR(VLOOKUP(D184,Masters!$A$5:$E$16,3,FALSE()),"")</f>
        <v>Mumbai</v>
      </c>
      <c r="G184" s="35">
        <v>4460</v>
      </c>
      <c r="H184" s="36">
        <f>IFERROR(INDEX(Masters!$D$5:$D$16,MATCH(D184,Masters!$A$5:$A$16,0)),"")</f>
        <v>9.5</v>
      </c>
      <c r="I184" s="37">
        <f t="shared" si="10"/>
        <v>42370</v>
      </c>
      <c r="J184" s="33" t="s">
        <v>129</v>
      </c>
      <c r="K184" s="38">
        <f>IF(OR(B184="",D184=""),"",IFERROR(B184+VLOOKUP(D184,Masters!$A$5:$E$16,5,FALSE()),""))</f>
        <v>46238</v>
      </c>
      <c r="L184" s="13">
        <v>46238</v>
      </c>
      <c r="M184" s="33" t="s">
        <v>104</v>
      </c>
      <c r="N184" s="34">
        <f t="shared" si="11"/>
        <v>0</v>
      </c>
      <c r="O184" s="34" t="str">
        <f t="shared" si="12"/>
        <v>Yes</v>
      </c>
      <c r="P184" s="39">
        <f t="shared" si="13"/>
        <v>46204</v>
      </c>
      <c r="Q184" s="34" t="str">
        <f t="shared" si="14"/>
        <v>OK</v>
      </c>
    </row>
    <row r="185" spans="1:17" x14ac:dyDescent="0.3">
      <c r="A185" s="33" t="s">
        <v>334</v>
      </c>
      <c r="B185" s="13">
        <v>46232</v>
      </c>
      <c r="C185" s="33" t="s">
        <v>167</v>
      </c>
      <c r="D185" s="33" t="s">
        <v>140</v>
      </c>
      <c r="E185" s="34" t="str">
        <f>IFERROR(VLOOKUP(D185,Masters!$A$5:$E$16,2,FALSE()),"")</f>
        <v>Delhi</v>
      </c>
      <c r="F185" s="34" t="str">
        <f>IFERROR(VLOOKUP(D185,Masters!$A$5:$E$16,3,FALSE()),"")</f>
        <v>Mumbai</v>
      </c>
      <c r="G185" s="35">
        <v>2920</v>
      </c>
      <c r="H185" s="36">
        <f>IFERROR(INDEX(Masters!$D$5:$D$16,MATCH(D185,Masters!$A$5:$A$16,0)),"")</f>
        <v>9.5</v>
      </c>
      <c r="I185" s="37">
        <f t="shared" si="10"/>
        <v>27740</v>
      </c>
      <c r="J185" s="33" t="s">
        <v>129</v>
      </c>
      <c r="K185" s="38">
        <f>IF(OR(B185="",D185=""),"",IFERROR(B185+VLOOKUP(D185,Masters!$A$5:$E$16,5,FALSE()),""))</f>
        <v>46238</v>
      </c>
      <c r="L185" s="13">
        <v>46239</v>
      </c>
      <c r="M185" s="33" t="s">
        <v>104</v>
      </c>
      <c r="N185" s="34">
        <f t="shared" si="11"/>
        <v>1</v>
      </c>
      <c r="O185" s="34" t="str">
        <f t="shared" si="12"/>
        <v>No</v>
      </c>
      <c r="P185" s="39">
        <f t="shared" si="13"/>
        <v>46204</v>
      </c>
      <c r="Q185" s="34" t="str">
        <f t="shared" si="14"/>
        <v>OK</v>
      </c>
    </row>
    <row r="186" spans="1:17" x14ac:dyDescent="0.3">
      <c r="A186" s="33" t="s">
        <v>335</v>
      </c>
      <c r="B186" s="13">
        <v>46233</v>
      </c>
      <c r="C186" s="33" t="s">
        <v>131</v>
      </c>
      <c r="D186" s="33" t="s">
        <v>135</v>
      </c>
      <c r="E186" s="34" t="str">
        <f>IFERROR(VLOOKUP(D186,Masters!$A$5:$E$16,2,FALSE()),"")</f>
        <v>Delhi</v>
      </c>
      <c r="F186" s="34" t="str">
        <f>IFERROR(VLOOKUP(D186,Masters!$A$5:$E$16,3,FALSE()),"")</f>
        <v>Lucknow</v>
      </c>
      <c r="G186" s="35">
        <v>3100</v>
      </c>
      <c r="H186" s="36">
        <f>IFERROR(INDEX(Masters!$D$5:$D$16,MATCH(D186,Masters!$A$5:$A$16,0)),"")</f>
        <v>5.2</v>
      </c>
      <c r="I186" s="37">
        <f t="shared" si="10"/>
        <v>16120</v>
      </c>
      <c r="J186" s="33" t="s">
        <v>129</v>
      </c>
      <c r="K186" s="38">
        <f>IF(OR(B186="",D186=""),"",IFERROR(B186+VLOOKUP(D186,Masters!$A$5:$E$16,5,FALSE()),""))</f>
        <v>46236</v>
      </c>
      <c r="L186" s="13">
        <v>46235</v>
      </c>
      <c r="M186" s="33" t="s">
        <v>104</v>
      </c>
      <c r="N186" s="34">
        <f t="shared" si="11"/>
        <v>0</v>
      </c>
      <c r="O186" s="34" t="str">
        <f t="shared" si="12"/>
        <v>Yes</v>
      </c>
      <c r="P186" s="39">
        <f t="shared" si="13"/>
        <v>46204</v>
      </c>
      <c r="Q186" s="34" t="str">
        <f t="shared" si="14"/>
        <v>OK</v>
      </c>
    </row>
    <row r="187" spans="1:17" x14ac:dyDescent="0.3">
      <c r="A187" s="33" t="s">
        <v>336</v>
      </c>
      <c r="B187" s="13">
        <v>46234</v>
      </c>
      <c r="C187" s="33" t="s">
        <v>180</v>
      </c>
      <c r="D187" s="33" t="s">
        <v>132</v>
      </c>
      <c r="E187" s="34" t="str">
        <f>IFERROR(VLOOKUP(D187,Masters!$A$5:$E$16,2,FALSE()),"")</f>
        <v>Delhi</v>
      </c>
      <c r="F187" s="34" t="str">
        <f>IFERROR(VLOOKUP(D187,Masters!$A$5:$E$16,3,FALSE()),"")</f>
        <v>Ahmedabad</v>
      </c>
      <c r="G187" s="35">
        <v>3180</v>
      </c>
      <c r="H187" s="36">
        <f>IFERROR(INDEX(Masters!$D$5:$D$16,MATCH(D187,Masters!$A$5:$A$16,0)),"")</f>
        <v>7.5</v>
      </c>
      <c r="I187" s="37">
        <f t="shared" si="10"/>
        <v>23850</v>
      </c>
      <c r="J187" s="33" t="s">
        <v>129</v>
      </c>
      <c r="K187" s="38">
        <f>IF(OR(B187="",D187=""),"",IFERROR(B187+VLOOKUP(D187,Masters!$A$5:$E$16,5,FALSE()),""))</f>
        <v>46238</v>
      </c>
      <c r="L187" s="13">
        <v>46239</v>
      </c>
      <c r="M187" s="33" t="s">
        <v>104</v>
      </c>
      <c r="N187" s="34">
        <f t="shared" si="11"/>
        <v>1</v>
      </c>
      <c r="O187" s="34" t="str">
        <f t="shared" si="12"/>
        <v>No</v>
      </c>
      <c r="P187" s="39">
        <f t="shared" si="13"/>
        <v>46204</v>
      </c>
      <c r="Q187" s="34" t="str">
        <f t="shared" si="14"/>
        <v>OK</v>
      </c>
    </row>
    <row r="188" spans="1:17" x14ac:dyDescent="0.3">
      <c r="A188" s="33" t="s">
        <v>337</v>
      </c>
      <c r="B188" s="13">
        <v>46234</v>
      </c>
      <c r="C188" s="33" t="s">
        <v>131</v>
      </c>
      <c r="D188" s="33" t="s">
        <v>184</v>
      </c>
      <c r="E188" s="34" t="str">
        <f>IFERROR(VLOOKUP(D188,Masters!$A$5:$E$16,2,FALSE()),"")</f>
        <v>Delhi</v>
      </c>
      <c r="F188" s="34" t="str">
        <f>IFERROR(VLOOKUP(D188,Masters!$A$5:$E$16,3,FALSE()),"")</f>
        <v>Agra</v>
      </c>
      <c r="G188" s="35">
        <v>7810</v>
      </c>
      <c r="H188" s="36">
        <f>IFERROR(INDEX(Masters!$D$5:$D$16,MATCH(D188,Masters!$A$5:$A$16,0)),"")</f>
        <v>2.8</v>
      </c>
      <c r="I188" s="37">
        <f t="shared" si="10"/>
        <v>21868</v>
      </c>
      <c r="J188" s="33" t="s">
        <v>136</v>
      </c>
      <c r="K188" s="38">
        <f>IF(OR(B188="",D188=""),"",IFERROR(B188+VLOOKUP(D188,Masters!$A$5:$E$16,5,FALSE()),""))</f>
        <v>46236</v>
      </c>
      <c r="L188" s="13">
        <v>46236</v>
      </c>
      <c r="M188" s="33" t="s">
        <v>104</v>
      </c>
      <c r="N188" s="34">
        <f t="shared" si="11"/>
        <v>0</v>
      </c>
      <c r="O188" s="34" t="str">
        <f t="shared" si="12"/>
        <v>Yes</v>
      </c>
      <c r="P188" s="39">
        <f t="shared" si="13"/>
        <v>46204</v>
      </c>
      <c r="Q188" s="34" t="str">
        <f t="shared" si="14"/>
        <v>OK</v>
      </c>
    </row>
    <row r="189" spans="1:17" x14ac:dyDescent="0.3">
      <c r="A189" s="33" t="s">
        <v>338</v>
      </c>
      <c r="B189" s="13">
        <v>46235</v>
      </c>
      <c r="C189" s="33" t="s">
        <v>142</v>
      </c>
      <c r="D189" s="33" t="s">
        <v>161</v>
      </c>
      <c r="E189" s="34" t="str">
        <f>IFERROR(VLOOKUP(D189,Masters!$A$5:$E$16,2,FALSE()),"")</f>
        <v>Delhi</v>
      </c>
      <c r="F189" s="34" t="str">
        <f>IFERROR(VLOOKUP(D189,Masters!$A$5:$E$16,3,FALSE()),"")</f>
        <v>Chandigarh</v>
      </c>
      <c r="G189" s="35">
        <v>2790</v>
      </c>
      <c r="H189" s="36">
        <f>IFERROR(INDEX(Masters!$D$5:$D$16,MATCH(D189,Masters!$A$5:$A$16,0)),"")</f>
        <v>3</v>
      </c>
      <c r="I189" s="37">
        <f t="shared" si="10"/>
        <v>8370</v>
      </c>
      <c r="J189" s="33" t="s">
        <v>129</v>
      </c>
      <c r="K189" s="38">
        <f>IF(OR(B189="",D189=""),"",IFERROR(B189+VLOOKUP(D189,Masters!$A$5:$E$16,5,FALSE()),""))</f>
        <v>46237</v>
      </c>
      <c r="L189" s="13">
        <v>46237</v>
      </c>
      <c r="M189" s="33" t="s">
        <v>104</v>
      </c>
      <c r="N189" s="34">
        <f t="shared" si="11"/>
        <v>0</v>
      </c>
      <c r="O189" s="34" t="str">
        <f t="shared" si="12"/>
        <v>Yes</v>
      </c>
      <c r="P189" s="39">
        <f t="shared" si="13"/>
        <v>46235</v>
      </c>
      <c r="Q189" s="34" t="str">
        <f t="shared" si="14"/>
        <v>OK</v>
      </c>
    </row>
    <row r="190" spans="1:17" x14ac:dyDescent="0.3">
      <c r="A190" s="33" t="s">
        <v>339</v>
      </c>
      <c r="B190" s="13">
        <v>46235</v>
      </c>
      <c r="C190" s="33" t="s">
        <v>167</v>
      </c>
      <c r="D190" s="33" t="s">
        <v>140</v>
      </c>
      <c r="E190" s="34" t="str">
        <f>IFERROR(VLOOKUP(D190,Masters!$A$5:$E$16,2,FALSE()),"")</f>
        <v>Delhi</v>
      </c>
      <c r="F190" s="34" t="str">
        <f>IFERROR(VLOOKUP(D190,Masters!$A$5:$E$16,3,FALSE()),"")</f>
        <v>Mumbai</v>
      </c>
      <c r="G190" s="35">
        <v>7270</v>
      </c>
      <c r="H190" s="36">
        <f>IFERROR(INDEX(Masters!$D$5:$D$16,MATCH(D190,Masters!$A$5:$A$16,0)),"")</f>
        <v>9.5</v>
      </c>
      <c r="I190" s="37">
        <f t="shared" si="10"/>
        <v>69065</v>
      </c>
      <c r="J190" s="33" t="s">
        <v>136</v>
      </c>
      <c r="K190" s="38">
        <f>IF(OR(B190="",D190=""),"",IFERROR(B190+VLOOKUP(D190,Masters!$A$5:$E$16,5,FALSE()),""))</f>
        <v>46241</v>
      </c>
      <c r="L190" s="13">
        <v>46240</v>
      </c>
      <c r="M190" s="33" t="s">
        <v>104</v>
      </c>
      <c r="N190" s="34">
        <f t="shared" si="11"/>
        <v>0</v>
      </c>
      <c r="O190" s="34" t="str">
        <f t="shared" si="12"/>
        <v>Yes</v>
      </c>
      <c r="P190" s="39">
        <f t="shared" si="13"/>
        <v>46235</v>
      </c>
      <c r="Q190" s="34" t="str">
        <f t="shared" si="14"/>
        <v>OK</v>
      </c>
    </row>
    <row r="191" spans="1:17" x14ac:dyDescent="0.3">
      <c r="A191" s="33" t="s">
        <v>340</v>
      </c>
      <c r="B191" s="13">
        <v>46236</v>
      </c>
      <c r="C191" s="33" t="s">
        <v>156</v>
      </c>
      <c r="D191" s="33" t="s">
        <v>159</v>
      </c>
      <c r="E191" s="34" t="str">
        <f>IFERROR(VLOOKUP(D191,Masters!$A$5:$E$16,2,FALSE()),"")</f>
        <v>Delhi</v>
      </c>
      <c r="F191" s="34" t="str">
        <f>IFERROR(VLOOKUP(D191,Masters!$A$5:$E$16,3,FALSE()),"")</f>
        <v>Jaipur</v>
      </c>
      <c r="G191" s="35">
        <v>9230</v>
      </c>
      <c r="H191" s="36">
        <f>IFERROR(INDEX(Masters!$D$5:$D$16,MATCH(D191,Masters!$A$5:$A$16,0)),"")</f>
        <v>3.5</v>
      </c>
      <c r="I191" s="37">
        <f t="shared" si="10"/>
        <v>32305</v>
      </c>
      <c r="J191" s="33" t="s">
        <v>157</v>
      </c>
      <c r="K191" s="38">
        <f>IF(OR(B191="",D191=""),"",IFERROR(B191+VLOOKUP(D191,Masters!$A$5:$E$16,5,FALSE()),""))</f>
        <v>46238</v>
      </c>
      <c r="L191" s="13">
        <v>46238</v>
      </c>
      <c r="M191" s="33" t="s">
        <v>104</v>
      </c>
      <c r="N191" s="34">
        <f t="shared" si="11"/>
        <v>0</v>
      </c>
      <c r="O191" s="34" t="str">
        <f t="shared" si="12"/>
        <v>Yes</v>
      </c>
      <c r="P191" s="39">
        <f t="shared" si="13"/>
        <v>46235</v>
      </c>
      <c r="Q191" s="34" t="str">
        <f t="shared" si="14"/>
        <v>OK</v>
      </c>
    </row>
    <row r="192" spans="1:17" x14ac:dyDescent="0.3">
      <c r="A192" s="33" t="s">
        <v>341</v>
      </c>
      <c r="B192" s="13">
        <v>46237</v>
      </c>
      <c r="C192" s="33" t="s">
        <v>167</v>
      </c>
      <c r="D192" s="33" t="s">
        <v>161</v>
      </c>
      <c r="E192" s="34" t="str">
        <f>IFERROR(VLOOKUP(D192,Masters!$A$5:$E$16,2,FALSE()),"")</f>
        <v>Delhi</v>
      </c>
      <c r="F192" s="34" t="str">
        <f>IFERROR(VLOOKUP(D192,Masters!$A$5:$E$16,3,FALSE()),"")</f>
        <v>Chandigarh</v>
      </c>
      <c r="G192" s="35">
        <v>1050</v>
      </c>
      <c r="H192" s="36">
        <f>IFERROR(INDEX(Masters!$D$5:$D$16,MATCH(D192,Masters!$A$5:$A$16,0)),"")</f>
        <v>3</v>
      </c>
      <c r="I192" s="37">
        <f t="shared" si="10"/>
        <v>3150</v>
      </c>
      <c r="J192" s="33" t="s">
        <v>144</v>
      </c>
      <c r="K192" s="38">
        <f>IF(OR(B192="",D192=""),"",IFERROR(B192+VLOOKUP(D192,Masters!$A$5:$E$16,5,FALSE()),""))</f>
        <v>46239</v>
      </c>
      <c r="L192" s="13">
        <v>46239</v>
      </c>
      <c r="M192" s="33" t="s">
        <v>104</v>
      </c>
      <c r="N192" s="34">
        <f t="shared" si="11"/>
        <v>0</v>
      </c>
      <c r="O192" s="34" t="str">
        <f t="shared" si="12"/>
        <v>Yes</v>
      </c>
      <c r="P192" s="39">
        <f t="shared" si="13"/>
        <v>46235</v>
      </c>
      <c r="Q192" s="34" t="str">
        <f t="shared" si="14"/>
        <v>OK</v>
      </c>
    </row>
    <row r="193" spans="1:17" x14ac:dyDescent="0.3">
      <c r="A193" s="33" t="s">
        <v>342</v>
      </c>
      <c r="B193" s="13">
        <v>46237</v>
      </c>
      <c r="C193" s="33" t="s">
        <v>127</v>
      </c>
      <c r="D193" s="33" t="s">
        <v>128</v>
      </c>
      <c r="E193" s="34" t="str">
        <f>IFERROR(VLOOKUP(D193,Masters!$A$5:$E$16,2,FALSE()),"")</f>
        <v>Ghaziabad</v>
      </c>
      <c r="F193" s="34" t="str">
        <f>IFERROR(VLOOKUP(D193,Masters!$A$5:$E$16,3,FALSE()),"")</f>
        <v>Meerut</v>
      </c>
      <c r="G193" s="35">
        <v>2360</v>
      </c>
      <c r="H193" s="36">
        <f>IFERROR(INDEX(Masters!$D$5:$D$16,MATCH(D193,Masters!$A$5:$A$16,0)),"")</f>
        <v>1.8</v>
      </c>
      <c r="I193" s="37">
        <f t="shared" si="10"/>
        <v>4248</v>
      </c>
      <c r="J193" s="33" t="s">
        <v>144</v>
      </c>
      <c r="K193" s="38">
        <f>IF(OR(B193="",D193=""),"",IFERROR(B193+VLOOKUP(D193,Masters!$A$5:$E$16,5,FALSE()),""))</f>
        <v>46238</v>
      </c>
      <c r="L193" s="13">
        <v>46237</v>
      </c>
      <c r="M193" s="33" t="s">
        <v>104</v>
      </c>
      <c r="N193" s="34">
        <f t="shared" si="11"/>
        <v>0</v>
      </c>
      <c r="O193" s="34" t="str">
        <f t="shared" si="12"/>
        <v>Yes</v>
      </c>
      <c r="P193" s="39">
        <f t="shared" si="13"/>
        <v>46235</v>
      </c>
      <c r="Q193" s="34" t="str">
        <f t="shared" si="14"/>
        <v>OK</v>
      </c>
    </row>
    <row r="194" spans="1:17" x14ac:dyDescent="0.3">
      <c r="A194" s="33" t="s">
        <v>343</v>
      </c>
      <c r="B194" s="13">
        <v>46238</v>
      </c>
      <c r="C194" s="33" t="s">
        <v>146</v>
      </c>
      <c r="D194" s="33" t="s">
        <v>161</v>
      </c>
      <c r="E194" s="34" t="str">
        <f>IFERROR(VLOOKUP(D194,Masters!$A$5:$E$16,2,FALSE()),"")</f>
        <v>Delhi</v>
      </c>
      <c r="F194" s="34" t="str">
        <f>IFERROR(VLOOKUP(D194,Masters!$A$5:$E$16,3,FALSE()),"")</f>
        <v>Chandigarh</v>
      </c>
      <c r="G194" s="35">
        <v>1380</v>
      </c>
      <c r="H194" s="36">
        <f>IFERROR(INDEX(Masters!$D$5:$D$16,MATCH(D194,Masters!$A$5:$A$16,0)),"")</f>
        <v>3</v>
      </c>
      <c r="I194" s="37">
        <f t="shared" ref="I194:I257" si="15">IF(OR(G194="",H194=""),"",G194*H194)</f>
        <v>4140</v>
      </c>
      <c r="J194" s="33" t="s">
        <v>144</v>
      </c>
      <c r="K194" s="38">
        <f>IF(OR(B194="",D194=""),"",IFERROR(B194+VLOOKUP(D194,Masters!$A$5:$E$16,5,FALSE()),""))</f>
        <v>46240</v>
      </c>
      <c r="L194" s="13">
        <v>46242</v>
      </c>
      <c r="M194" s="33" t="s">
        <v>104</v>
      </c>
      <c r="N194" s="34">
        <f t="shared" ref="N194:N257" si="16">IF(OR(L194="",K194=""),"",MAX(0,L194-K194))</f>
        <v>2</v>
      </c>
      <c r="O194" s="34" t="str">
        <f t="shared" ref="O194:O257" si="17">IF(M194="In Transit","Pending",IF(OR(L194="",K194=""),"",IF(L194&lt;=K194,"Yes","No")))</f>
        <v>No</v>
      </c>
      <c r="P194" s="39">
        <f t="shared" ref="P194:P257" si="18">IF(B194="","",DATE(YEAR(B194),MONTH(B194),1))</f>
        <v>46235</v>
      </c>
      <c r="Q194" s="34" t="str">
        <f t="shared" ref="Q194:Q257" si="19">IF(OR(A194="",B194="",C194="",D194="",G194=""),"Missing Field",IF(COUNTIF($A$2:$A$1000,A194)&gt;1,"Duplicate ID",IF(G194&lt;=0,"Invalid Weight",IF(AND(L194&lt;&gt;"",L194&lt;B194),"Delivery Before Ship Date",IF(AND(M194="Delivered",L194=""),"Delivered But No Date","OK")))))</f>
        <v>OK</v>
      </c>
    </row>
    <row r="195" spans="1:17" x14ac:dyDescent="0.3">
      <c r="A195" s="33" t="s">
        <v>344</v>
      </c>
      <c r="B195" s="13">
        <v>46238</v>
      </c>
      <c r="C195" s="33" t="s">
        <v>127</v>
      </c>
      <c r="D195" s="33" t="s">
        <v>154</v>
      </c>
      <c r="E195" s="34" t="str">
        <f>IFERROR(VLOOKUP(D195,Masters!$A$5:$E$16,2,FALSE()),"")</f>
        <v>Delhi</v>
      </c>
      <c r="F195" s="34" t="str">
        <f>IFERROR(VLOOKUP(D195,Masters!$A$5:$E$16,3,FALSE()),"")</f>
        <v>Bhopal</v>
      </c>
      <c r="G195" s="35">
        <v>3190</v>
      </c>
      <c r="H195" s="36">
        <f>IFERROR(INDEX(Masters!$D$5:$D$16,MATCH(D195,Masters!$A$5:$A$16,0)),"")</f>
        <v>8</v>
      </c>
      <c r="I195" s="37">
        <f t="shared" si="15"/>
        <v>25520</v>
      </c>
      <c r="J195" s="33" t="s">
        <v>129</v>
      </c>
      <c r="K195" s="38">
        <f>IF(OR(B195="",D195=""),"",IFERROR(B195+VLOOKUP(D195,Masters!$A$5:$E$16,5,FALSE()),""))</f>
        <v>46243</v>
      </c>
      <c r="L195" s="13">
        <v>46242</v>
      </c>
      <c r="M195" s="33" t="s">
        <v>104</v>
      </c>
      <c r="N195" s="34">
        <f t="shared" si="16"/>
        <v>0</v>
      </c>
      <c r="O195" s="34" t="str">
        <f t="shared" si="17"/>
        <v>Yes</v>
      </c>
      <c r="P195" s="39">
        <f t="shared" si="18"/>
        <v>46235</v>
      </c>
      <c r="Q195" s="34" t="str">
        <f t="shared" si="19"/>
        <v>OK</v>
      </c>
    </row>
    <row r="196" spans="1:17" x14ac:dyDescent="0.3">
      <c r="A196" s="33" t="s">
        <v>345</v>
      </c>
      <c r="B196" s="13">
        <v>46238</v>
      </c>
      <c r="C196" s="33" t="s">
        <v>131</v>
      </c>
      <c r="D196" s="33" t="s">
        <v>184</v>
      </c>
      <c r="E196" s="34" t="str">
        <f>IFERROR(VLOOKUP(D196,Masters!$A$5:$E$16,2,FALSE()),"")</f>
        <v>Delhi</v>
      </c>
      <c r="F196" s="34" t="str">
        <f>IFERROR(VLOOKUP(D196,Masters!$A$5:$E$16,3,FALSE()),"")</f>
        <v>Agra</v>
      </c>
      <c r="G196" s="35">
        <v>9110</v>
      </c>
      <c r="H196" s="36">
        <f>IFERROR(INDEX(Masters!$D$5:$D$16,MATCH(D196,Masters!$A$5:$A$16,0)),"")</f>
        <v>2.8</v>
      </c>
      <c r="I196" s="37">
        <f t="shared" si="15"/>
        <v>25508</v>
      </c>
      <c r="J196" s="33" t="s">
        <v>157</v>
      </c>
      <c r="K196" s="38">
        <f>IF(OR(B196="",D196=""),"",IFERROR(B196+VLOOKUP(D196,Masters!$A$5:$E$16,5,FALSE()),""))</f>
        <v>46240</v>
      </c>
      <c r="L196" s="13">
        <v>46241</v>
      </c>
      <c r="M196" s="33" t="s">
        <v>104</v>
      </c>
      <c r="N196" s="34">
        <f t="shared" si="16"/>
        <v>1</v>
      </c>
      <c r="O196" s="34" t="str">
        <f t="shared" si="17"/>
        <v>No</v>
      </c>
      <c r="P196" s="39">
        <f t="shared" si="18"/>
        <v>46235</v>
      </c>
      <c r="Q196" s="34" t="str">
        <f t="shared" si="19"/>
        <v>OK</v>
      </c>
    </row>
    <row r="197" spans="1:17" x14ac:dyDescent="0.3">
      <c r="A197" s="33" t="s">
        <v>346</v>
      </c>
      <c r="B197" s="13">
        <v>46240</v>
      </c>
      <c r="C197" s="33" t="s">
        <v>146</v>
      </c>
      <c r="D197" s="33" t="s">
        <v>161</v>
      </c>
      <c r="E197" s="34" t="str">
        <f>IFERROR(VLOOKUP(D197,Masters!$A$5:$E$16,2,FALSE()),"")</f>
        <v>Delhi</v>
      </c>
      <c r="F197" s="34" t="str">
        <f>IFERROR(VLOOKUP(D197,Masters!$A$5:$E$16,3,FALSE()),"")</f>
        <v>Chandigarh</v>
      </c>
      <c r="G197" s="35">
        <v>3340</v>
      </c>
      <c r="H197" s="36">
        <f>IFERROR(INDEX(Masters!$D$5:$D$16,MATCH(D197,Masters!$A$5:$A$16,0)),"")</f>
        <v>3</v>
      </c>
      <c r="I197" s="37">
        <f t="shared" si="15"/>
        <v>10020</v>
      </c>
      <c r="J197" s="33" t="s">
        <v>129</v>
      </c>
      <c r="K197" s="38">
        <f>IF(OR(B197="",D197=""),"",IFERROR(B197+VLOOKUP(D197,Masters!$A$5:$E$16,5,FALSE()),""))</f>
        <v>46242</v>
      </c>
      <c r="L197" s="13">
        <v>46242</v>
      </c>
      <c r="M197" s="33" t="s">
        <v>104</v>
      </c>
      <c r="N197" s="34">
        <f t="shared" si="16"/>
        <v>0</v>
      </c>
      <c r="O197" s="34" t="str">
        <f t="shared" si="17"/>
        <v>Yes</v>
      </c>
      <c r="P197" s="39">
        <f t="shared" si="18"/>
        <v>46235</v>
      </c>
      <c r="Q197" s="34" t="str">
        <f t="shared" si="19"/>
        <v>OK</v>
      </c>
    </row>
    <row r="198" spans="1:17" x14ac:dyDescent="0.3">
      <c r="A198" s="33" t="s">
        <v>347</v>
      </c>
      <c r="B198" s="13">
        <v>46241</v>
      </c>
      <c r="C198" s="33" t="s">
        <v>171</v>
      </c>
      <c r="D198" s="33" t="s">
        <v>161</v>
      </c>
      <c r="E198" s="34" t="str">
        <f>IFERROR(VLOOKUP(D198,Masters!$A$5:$E$16,2,FALSE()),"")</f>
        <v>Delhi</v>
      </c>
      <c r="F198" s="34" t="str">
        <f>IFERROR(VLOOKUP(D198,Masters!$A$5:$E$16,3,FALSE()),"")</f>
        <v>Chandigarh</v>
      </c>
      <c r="G198" s="35">
        <v>7090</v>
      </c>
      <c r="H198" s="36">
        <f>IFERROR(INDEX(Masters!$D$5:$D$16,MATCH(D198,Masters!$A$5:$A$16,0)),"")</f>
        <v>3</v>
      </c>
      <c r="I198" s="37">
        <f t="shared" si="15"/>
        <v>21270</v>
      </c>
      <c r="J198" s="33" t="s">
        <v>136</v>
      </c>
      <c r="K198" s="38">
        <f>IF(OR(B198="",D198=""),"",IFERROR(B198+VLOOKUP(D198,Masters!$A$5:$E$16,5,FALSE()),""))</f>
        <v>46243</v>
      </c>
      <c r="L198" s="13">
        <v>46243</v>
      </c>
      <c r="M198" s="33" t="s">
        <v>104</v>
      </c>
      <c r="N198" s="34">
        <f t="shared" si="16"/>
        <v>0</v>
      </c>
      <c r="O198" s="34" t="str">
        <f t="shared" si="17"/>
        <v>Yes</v>
      </c>
      <c r="P198" s="39">
        <f t="shared" si="18"/>
        <v>46235</v>
      </c>
      <c r="Q198" s="34" t="str">
        <f t="shared" si="19"/>
        <v>OK</v>
      </c>
    </row>
    <row r="199" spans="1:17" x14ac:dyDescent="0.3">
      <c r="A199" s="33" t="s">
        <v>348</v>
      </c>
      <c r="B199" s="13">
        <v>46242</v>
      </c>
      <c r="C199" s="33" t="s">
        <v>180</v>
      </c>
      <c r="D199" s="33" t="s">
        <v>135</v>
      </c>
      <c r="E199" s="34" t="str">
        <f>IFERROR(VLOOKUP(D199,Masters!$A$5:$E$16,2,FALSE()),"")</f>
        <v>Delhi</v>
      </c>
      <c r="F199" s="34" t="str">
        <f>IFERROR(VLOOKUP(D199,Masters!$A$5:$E$16,3,FALSE()),"")</f>
        <v>Lucknow</v>
      </c>
      <c r="G199" s="35">
        <v>6100</v>
      </c>
      <c r="H199" s="36">
        <f>IFERROR(INDEX(Masters!$D$5:$D$16,MATCH(D199,Masters!$A$5:$A$16,0)),"")</f>
        <v>5.2</v>
      </c>
      <c r="I199" s="37">
        <f t="shared" si="15"/>
        <v>31720</v>
      </c>
      <c r="J199" s="33" t="s">
        <v>136</v>
      </c>
      <c r="K199" s="38">
        <f>IF(OR(B199="",D199=""),"",IFERROR(B199+VLOOKUP(D199,Masters!$A$5:$E$16,5,FALSE()),""))</f>
        <v>46245</v>
      </c>
      <c r="L199" s="13">
        <v>46246</v>
      </c>
      <c r="M199" s="33" t="s">
        <v>104</v>
      </c>
      <c r="N199" s="34">
        <f t="shared" si="16"/>
        <v>1</v>
      </c>
      <c r="O199" s="34" t="str">
        <f t="shared" si="17"/>
        <v>No</v>
      </c>
      <c r="P199" s="39">
        <f t="shared" si="18"/>
        <v>46235</v>
      </c>
      <c r="Q199" s="34" t="str">
        <f t="shared" si="19"/>
        <v>OK</v>
      </c>
    </row>
    <row r="200" spans="1:17" x14ac:dyDescent="0.3">
      <c r="A200" s="33" t="s">
        <v>349</v>
      </c>
      <c r="B200" s="13">
        <v>46242</v>
      </c>
      <c r="C200" s="33" t="s">
        <v>142</v>
      </c>
      <c r="D200" s="33" t="s">
        <v>138</v>
      </c>
      <c r="E200" s="34" t="str">
        <f>IFERROR(VLOOKUP(D200,Masters!$A$5:$E$16,2,FALSE()),"")</f>
        <v>Delhi</v>
      </c>
      <c r="F200" s="34" t="str">
        <f>IFERROR(VLOOKUP(D200,Masters!$A$5:$E$16,3,FALSE()),"")</f>
        <v>Kolkata</v>
      </c>
      <c r="G200" s="35">
        <v>3590</v>
      </c>
      <c r="H200" s="36">
        <f>IFERROR(INDEX(Masters!$D$5:$D$16,MATCH(D200,Masters!$A$5:$A$16,0)),"")</f>
        <v>12</v>
      </c>
      <c r="I200" s="37">
        <f t="shared" si="15"/>
        <v>43080</v>
      </c>
      <c r="J200" s="33" t="s">
        <v>129</v>
      </c>
      <c r="K200" s="38">
        <f>IF(OR(B200="",D200=""),"",IFERROR(B200+VLOOKUP(D200,Masters!$A$5:$E$16,5,FALSE()),""))</f>
        <v>46249</v>
      </c>
      <c r="L200" s="13">
        <v>46249</v>
      </c>
      <c r="M200" s="33" t="s">
        <v>104</v>
      </c>
      <c r="N200" s="34">
        <f t="shared" si="16"/>
        <v>0</v>
      </c>
      <c r="O200" s="34" t="str">
        <f t="shared" si="17"/>
        <v>Yes</v>
      </c>
      <c r="P200" s="39">
        <f t="shared" si="18"/>
        <v>46235</v>
      </c>
      <c r="Q200" s="34" t="str">
        <f t="shared" si="19"/>
        <v>OK</v>
      </c>
    </row>
    <row r="201" spans="1:17" x14ac:dyDescent="0.3">
      <c r="A201" s="33" t="s">
        <v>350</v>
      </c>
      <c r="B201" s="13">
        <v>46243</v>
      </c>
      <c r="C201" s="33" t="s">
        <v>142</v>
      </c>
      <c r="D201" s="33" t="s">
        <v>135</v>
      </c>
      <c r="E201" s="34" t="str">
        <f>IFERROR(VLOOKUP(D201,Masters!$A$5:$E$16,2,FALSE()),"")</f>
        <v>Delhi</v>
      </c>
      <c r="F201" s="34" t="str">
        <f>IFERROR(VLOOKUP(D201,Masters!$A$5:$E$16,3,FALSE()),"")</f>
        <v>Lucknow</v>
      </c>
      <c r="G201" s="35">
        <v>2400</v>
      </c>
      <c r="H201" s="36">
        <f>IFERROR(INDEX(Masters!$D$5:$D$16,MATCH(D201,Masters!$A$5:$A$16,0)),"")</f>
        <v>5.2</v>
      </c>
      <c r="I201" s="37">
        <f t="shared" si="15"/>
        <v>12480</v>
      </c>
      <c r="J201" s="33" t="s">
        <v>144</v>
      </c>
      <c r="K201" s="38">
        <f>IF(OR(B201="",D201=""),"",IFERROR(B201+VLOOKUP(D201,Masters!$A$5:$E$16,5,FALSE()),""))</f>
        <v>46246</v>
      </c>
      <c r="L201" s="13">
        <v>46246</v>
      </c>
      <c r="M201" s="33" t="s">
        <v>104</v>
      </c>
      <c r="N201" s="34">
        <f t="shared" si="16"/>
        <v>0</v>
      </c>
      <c r="O201" s="34" t="str">
        <f t="shared" si="17"/>
        <v>Yes</v>
      </c>
      <c r="P201" s="39">
        <f t="shared" si="18"/>
        <v>46235</v>
      </c>
      <c r="Q201" s="34" t="str">
        <f t="shared" si="19"/>
        <v>OK</v>
      </c>
    </row>
    <row r="202" spans="1:17" x14ac:dyDescent="0.3">
      <c r="A202" s="33" t="s">
        <v>351</v>
      </c>
      <c r="B202" s="13">
        <v>46243</v>
      </c>
      <c r="C202" s="33" t="s">
        <v>142</v>
      </c>
      <c r="D202" s="33" t="s">
        <v>138</v>
      </c>
      <c r="E202" s="34" t="str">
        <f>IFERROR(VLOOKUP(D202,Masters!$A$5:$E$16,2,FALSE()),"")</f>
        <v>Delhi</v>
      </c>
      <c r="F202" s="34" t="str">
        <f>IFERROR(VLOOKUP(D202,Masters!$A$5:$E$16,3,FALSE()),"")</f>
        <v>Kolkata</v>
      </c>
      <c r="G202" s="35">
        <v>2430</v>
      </c>
      <c r="H202" s="36">
        <f>IFERROR(INDEX(Masters!$D$5:$D$16,MATCH(D202,Masters!$A$5:$A$16,0)),"")</f>
        <v>12</v>
      </c>
      <c r="I202" s="37">
        <f t="shared" si="15"/>
        <v>29160</v>
      </c>
      <c r="J202" s="33" t="s">
        <v>144</v>
      </c>
      <c r="K202" s="38">
        <f>IF(OR(B202="",D202=""),"",IFERROR(B202+VLOOKUP(D202,Masters!$A$5:$E$16,5,FALSE()),""))</f>
        <v>46250</v>
      </c>
      <c r="L202" s="13">
        <v>46249</v>
      </c>
      <c r="M202" s="33" t="s">
        <v>104</v>
      </c>
      <c r="N202" s="34">
        <f t="shared" si="16"/>
        <v>0</v>
      </c>
      <c r="O202" s="34" t="str">
        <f t="shared" si="17"/>
        <v>Yes</v>
      </c>
      <c r="P202" s="39">
        <f t="shared" si="18"/>
        <v>46235</v>
      </c>
      <c r="Q202" s="34" t="str">
        <f t="shared" si="19"/>
        <v>OK</v>
      </c>
    </row>
    <row r="203" spans="1:17" x14ac:dyDescent="0.3">
      <c r="A203" s="33" t="s">
        <v>352</v>
      </c>
      <c r="B203" s="13">
        <v>46244</v>
      </c>
      <c r="C203" s="33" t="s">
        <v>127</v>
      </c>
      <c r="D203" s="33" t="s">
        <v>161</v>
      </c>
      <c r="E203" s="34" t="str">
        <f>IFERROR(VLOOKUP(D203,Masters!$A$5:$E$16,2,FALSE()),"")</f>
        <v>Delhi</v>
      </c>
      <c r="F203" s="34" t="str">
        <f>IFERROR(VLOOKUP(D203,Masters!$A$5:$E$16,3,FALSE()),"")</f>
        <v>Chandigarh</v>
      </c>
      <c r="G203" s="35">
        <v>6040</v>
      </c>
      <c r="H203" s="36">
        <f>IFERROR(INDEX(Masters!$D$5:$D$16,MATCH(D203,Masters!$A$5:$A$16,0)),"")</f>
        <v>3</v>
      </c>
      <c r="I203" s="37">
        <f t="shared" si="15"/>
        <v>18120</v>
      </c>
      <c r="J203" s="33" t="s">
        <v>136</v>
      </c>
      <c r="K203" s="38">
        <f>IF(OR(B203="",D203=""),"",IFERROR(B203+VLOOKUP(D203,Masters!$A$5:$E$16,5,FALSE()),""))</f>
        <v>46246</v>
      </c>
      <c r="L203" s="13">
        <v>46246</v>
      </c>
      <c r="M203" s="33" t="s">
        <v>104</v>
      </c>
      <c r="N203" s="34">
        <f t="shared" si="16"/>
        <v>0</v>
      </c>
      <c r="O203" s="34" t="str">
        <f t="shared" si="17"/>
        <v>Yes</v>
      </c>
      <c r="P203" s="39">
        <f t="shared" si="18"/>
        <v>46235</v>
      </c>
      <c r="Q203" s="34" t="str">
        <f t="shared" si="19"/>
        <v>OK</v>
      </c>
    </row>
    <row r="204" spans="1:17" x14ac:dyDescent="0.3">
      <c r="A204" s="33" t="s">
        <v>353</v>
      </c>
      <c r="B204" s="13">
        <v>46244</v>
      </c>
      <c r="C204" s="33" t="s">
        <v>131</v>
      </c>
      <c r="D204" s="33" t="s">
        <v>138</v>
      </c>
      <c r="E204" s="34" t="str">
        <f>IFERROR(VLOOKUP(D204,Masters!$A$5:$E$16,2,FALSE()),"")</f>
        <v>Delhi</v>
      </c>
      <c r="F204" s="34" t="str">
        <f>IFERROR(VLOOKUP(D204,Masters!$A$5:$E$16,3,FALSE()),"")</f>
        <v>Kolkata</v>
      </c>
      <c r="G204" s="35">
        <v>9260</v>
      </c>
      <c r="H204" s="36">
        <f>IFERROR(INDEX(Masters!$D$5:$D$16,MATCH(D204,Masters!$A$5:$A$16,0)),"")</f>
        <v>12</v>
      </c>
      <c r="I204" s="37">
        <f t="shared" si="15"/>
        <v>111120</v>
      </c>
      <c r="J204" s="33" t="s">
        <v>157</v>
      </c>
      <c r="K204" s="38">
        <f>IF(OR(B204="",D204=""),"",IFERROR(B204+VLOOKUP(D204,Masters!$A$5:$E$16,5,FALSE()),""))</f>
        <v>46251</v>
      </c>
      <c r="L204" s="13">
        <v>46253</v>
      </c>
      <c r="M204" s="33" t="s">
        <v>104</v>
      </c>
      <c r="N204" s="34">
        <f t="shared" si="16"/>
        <v>2</v>
      </c>
      <c r="O204" s="34" t="str">
        <f t="shared" si="17"/>
        <v>No</v>
      </c>
      <c r="P204" s="39">
        <f t="shared" si="18"/>
        <v>46235</v>
      </c>
      <c r="Q204" s="34" t="str">
        <f t="shared" si="19"/>
        <v>OK</v>
      </c>
    </row>
    <row r="205" spans="1:17" x14ac:dyDescent="0.3">
      <c r="A205" s="33" t="s">
        <v>354</v>
      </c>
      <c r="B205" s="13">
        <v>46244</v>
      </c>
      <c r="C205" s="33" t="s">
        <v>127</v>
      </c>
      <c r="D205" s="33" t="s">
        <v>159</v>
      </c>
      <c r="E205" s="34" t="str">
        <f>IFERROR(VLOOKUP(D205,Masters!$A$5:$E$16,2,FALSE()),"")</f>
        <v>Delhi</v>
      </c>
      <c r="F205" s="34" t="str">
        <f>IFERROR(VLOOKUP(D205,Masters!$A$5:$E$16,3,FALSE()),"")</f>
        <v>Jaipur</v>
      </c>
      <c r="G205" s="35">
        <v>5550</v>
      </c>
      <c r="H205" s="36">
        <f>IFERROR(INDEX(Masters!$D$5:$D$16,MATCH(D205,Masters!$A$5:$A$16,0)),"")</f>
        <v>3.5</v>
      </c>
      <c r="I205" s="37">
        <f t="shared" si="15"/>
        <v>19425</v>
      </c>
      <c r="J205" s="33" t="s">
        <v>136</v>
      </c>
      <c r="K205" s="38">
        <f>IF(OR(B205="",D205=""),"",IFERROR(B205+VLOOKUP(D205,Masters!$A$5:$E$16,5,FALSE()),""))</f>
        <v>46246</v>
      </c>
      <c r="L205" s="13">
        <v>46246</v>
      </c>
      <c r="M205" s="33" t="s">
        <v>104</v>
      </c>
      <c r="N205" s="34">
        <f t="shared" si="16"/>
        <v>0</v>
      </c>
      <c r="O205" s="34" t="str">
        <f t="shared" si="17"/>
        <v>Yes</v>
      </c>
      <c r="P205" s="39">
        <f t="shared" si="18"/>
        <v>46235</v>
      </c>
      <c r="Q205" s="34" t="str">
        <f t="shared" si="19"/>
        <v>OK</v>
      </c>
    </row>
    <row r="206" spans="1:17" x14ac:dyDescent="0.3">
      <c r="A206" s="33" t="s">
        <v>355</v>
      </c>
      <c r="B206" s="13">
        <v>46245</v>
      </c>
      <c r="C206" s="33" t="s">
        <v>131</v>
      </c>
      <c r="D206" s="33" t="s">
        <v>159</v>
      </c>
      <c r="E206" s="34" t="str">
        <f>IFERROR(VLOOKUP(D206,Masters!$A$5:$E$16,2,FALSE()),"")</f>
        <v>Delhi</v>
      </c>
      <c r="F206" s="34" t="str">
        <f>IFERROR(VLOOKUP(D206,Masters!$A$5:$E$16,3,FALSE()),"")</f>
        <v>Jaipur</v>
      </c>
      <c r="G206" s="35">
        <v>5670</v>
      </c>
      <c r="H206" s="36">
        <f>IFERROR(INDEX(Masters!$D$5:$D$16,MATCH(D206,Masters!$A$5:$A$16,0)),"")</f>
        <v>3.5</v>
      </c>
      <c r="I206" s="37">
        <f t="shared" si="15"/>
        <v>19845</v>
      </c>
      <c r="J206" s="33" t="s">
        <v>136</v>
      </c>
      <c r="K206" s="38">
        <f>IF(OR(B206="",D206=""),"",IFERROR(B206+VLOOKUP(D206,Masters!$A$5:$E$16,5,FALSE()),""))</f>
        <v>46247</v>
      </c>
      <c r="L206" s="13">
        <v>46247</v>
      </c>
      <c r="M206" s="33" t="s">
        <v>104</v>
      </c>
      <c r="N206" s="34">
        <f t="shared" si="16"/>
        <v>0</v>
      </c>
      <c r="O206" s="34" t="str">
        <f t="shared" si="17"/>
        <v>Yes</v>
      </c>
      <c r="P206" s="39">
        <f t="shared" si="18"/>
        <v>46235</v>
      </c>
      <c r="Q206" s="34" t="str">
        <f t="shared" si="19"/>
        <v>OK</v>
      </c>
    </row>
    <row r="207" spans="1:17" x14ac:dyDescent="0.3">
      <c r="A207" s="33" t="s">
        <v>356</v>
      </c>
      <c r="B207" s="13">
        <v>46245</v>
      </c>
      <c r="C207" s="33" t="s">
        <v>131</v>
      </c>
      <c r="D207" s="33" t="s">
        <v>140</v>
      </c>
      <c r="E207" s="34" t="str">
        <f>IFERROR(VLOOKUP(D207,Masters!$A$5:$E$16,2,FALSE()),"")</f>
        <v>Delhi</v>
      </c>
      <c r="F207" s="34" t="str">
        <f>IFERROR(VLOOKUP(D207,Masters!$A$5:$E$16,3,FALSE()),"")</f>
        <v>Mumbai</v>
      </c>
      <c r="G207" s="35">
        <v>2050</v>
      </c>
      <c r="H207" s="36">
        <f>IFERROR(INDEX(Masters!$D$5:$D$16,MATCH(D207,Masters!$A$5:$A$16,0)),"")</f>
        <v>9.5</v>
      </c>
      <c r="I207" s="37">
        <f t="shared" si="15"/>
        <v>19475</v>
      </c>
      <c r="J207" s="33" t="s">
        <v>144</v>
      </c>
      <c r="K207" s="38">
        <f>IF(OR(B207="",D207=""),"",IFERROR(B207+VLOOKUP(D207,Masters!$A$5:$E$16,5,FALSE()),""))</f>
        <v>46251</v>
      </c>
      <c r="L207" s="13">
        <v>46253</v>
      </c>
      <c r="M207" s="33" t="s">
        <v>104</v>
      </c>
      <c r="N207" s="34">
        <f t="shared" si="16"/>
        <v>2</v>
      </c>
      <c r="O207" s="34" t="str">
        <f t="shared" si="17"/>
        <v>No</v>
      </c>
      <c r="P207" s="39">
        <f t="shared" si="18"/>
        <v>46235</v>
      </c>
      <c r="Q207" s="34" t="str">
        <f t="shared" si="19"/>
        <v>OK</v>
      </c>
    </row>
    <row r="208" spans="1:17" x14ac:dyDescent="0.3">
      <c r="A208" s="33" t="s">
        <v>357</v>
      </c>
      <c r="B208" s="13">
        <v>46246</v>
      </c>
      <c r="C208" s="33" t="s">
        <v>131</v>
      </c>
      <c r="D208" s="33" t="s">
        <v>138</v>
      </c>
      <c r="E208" s="34" t="str">
        <f>IFERROR(VLOOKUP(D208,Masters!$A$5:$E$16,2,FALSE()),"")</f>
        <v>Delhi</v>
      </c>
      <c r="F208" s="34" t="str">
        <f>IFERROR(VLOOKUP(D208,Masters!$A$5:$E$16,3,FALSE()),"")</f>
        <v>Kolkata</v>
      </c>
      <c r="G208" s="35">
        <v>4260</v>
      </c>
      <c r="H208" s="36">
        <f>IFERROR(INDEX(Masters!$D$5:$D$16,MATCH(D208,Masters!$A$5:$A$16,0)),"")</f>
        <v>12</v>
      </c>
      <c r="I208" s="37">
        <f t="shared" si="15"/>
        <v>51120</v>
      </c>
      <c r="J208" s="33" t="s">
        <v>129</v>
      </c>
      <c r="K208" s="38">
        <f>IF(OR(B208="",D208=""),"",IFERROR(B208+VLOOKUP(D208,Masters!$A$5:$E$16,5,FALSE()),""))</f>
        <v>46253</v>
      </c>
      <c r="L208" s="13">
        <v>46255</v>
      </c>
      <c r="M208" s="33" t="s">
        <v>104</v>
      </c>
      <c r="N208" s="34">
        <f t="shared" si="16"/>
        <v>2</v>
      </c>
      <c r="O208" s="34" t="str">
        <f t="shared" si="17"/>
        <v>No</v>
      </c>
      <c r="P208" s="39">
        <f t="shared" si="18"/>
        <v>46235</v>
      </c>
      <c r="Q208" s="34" t="str">
        <f t="shared" si="19"/>
        <v>OK</v>
      </c>
    </row>
    <row r="209" spans="1:17" x14ac:dyDescent="0.3">
      <c r="A209" s="33" t="s">
        <v>358</v>
      </c>
      <c r="B209" s="13">
        <v>46246</v>
      </c>
      <c r="C209" s="33" t="s">
        <v>131</v>
      </c>
      <c r="D209" s="33" t="s">
        <v>159</v>
      </c>
      <c r="E209" s="34" t="str">
        <f>IFERROR(VLOOKUP(D209,Masters!$A$5:$E$16,2,FALSE()),"")</f>
        <v>Delhi</v>
      </c>
      <c r="F209" s="34" t="str">
        <f>IFERROR(VLOOKUP(D209,Masters!$A$5:$E$16,3,FALSE()),"")</f>
        <v>Jaipur</v>
      </c>
      <c r="G209" s="35">
        <v>7810</v>
      </c>
      <c r="H209" s="36">
        <f>IFERROR(INDEX(Masters!$D$5:$D$16,MATCH(D209,Masters!$A$5:$A$16,0)),"")</f>
        <v>3.5</v>
      </c>
      <c r="I209" s="37">
        <f t="shared" si="15"/>
        <v>27335</v>
      </c>
      <c r="J209" s="33" t="s">
        <v>136</v>
      </c>
      <c r="K209" s="38">
        <f>IF(OR(B209="",D209=""),"",IFERROR(B209+VLOOKUP(D209,Masters!$A$5:$E$16,5,FALSE()),""))</f>
        <v>46248</v>
      </c>
      <c r="L209" s="13">
        <v>46248</v>
      </c>
      <c r="M209" s="33" t="s">
        <v>104</v>
      </c>
      <c r="N209" s="34">
        <f t="shared" si="16"/>
        <v>0</v>
      </c>
      <c r="O209" s="34" t="str">
        <f t="shared" si="17"/>
        <v>Yes</v>
      </c>
      <c r="P209" s="39">
        <f t="shared" si="18"/>
        <v>46235</v>
      </c>
      <c r="Q209" s="34" t="str">
        <f t="shared" si="19"/>
        <v>OK</v>
      </c>
    </row>
    <row r="210" spans="1:17" x14ac:dyDescent="0.3">
      <c r="A210" s="33" t="s">
        <v>359</v>
      </c>
      <c r="B210" s="13">
        <v>46247</v>
      </c>
      <c r="C210" s="33" t="s">
        <v>146</v>
      </c>
      <c r="D210" s="33" t="s">
        <v>143</v>
      </c>
      <c r="E210" s="34" t="str">
        <f>IFERROR(VLOOKUP(D210,Masters!$A$5:$E$16,2,FALSE()),"")</f>
        <v>Delhi</v>
      </c>
      <c r="F210" s="34" t="str">
        <f>IFERROR(VLOOKUP(D210,Masters!$A$5:$E$16,3,FALSE()),"")</f>
        <v>Kanpur</v>
      </c>
      <c r="G210" s="35">
        <v>4330</v>
      </c>
      <c r="H210" s="36">
        <f>IFERROR(INDEX(Masters!$D$5:$D$16,MATCH(D210,Masters!$A$5:$A$16,0)),"")</f>
        <v>4.5</v>
      </c>
      <c r="I210" s="37">
        <f t="shared" si="15"/>
        <v>19485</v>
      </c>
      <c r="J210" s="33" t="s">
        <v>129</v>
      </c>
      <c r="K210" s="38">
        <f>IF(OR(B210="",D210=""),"",IFERROR(B210+VLOOKUP(D210,Masters!$A$5:$E$16,5,FALSE()),""))</f>
        <v>46250</v>
      </c>
      <c r="L210" s="13">
        <v>46250</v>
      </c>
      <c r="M210" s="33" t="s">
        <v>104</v>
      </c>
      <c r="N210" s="34">
        <f t="shared" si="16"/>
        <v>0</v>
      </c>
      <c r="O210" s="34" t="str">
        <f t="shared" si="17"/>
        <v>Yes</v>
      </c>
      <c r="P210" s="39">
        <f t="shared" si="18"/>
        <v>46235</v>
      </c>
      <c r="Q210" s="34" t="str">
        <f t="shared" si="19"/>
        <v>OK</v>
      </c>
    </row>
    <row r="211" spans="1:17" x14ac:dyDescent="0.3">
      <c r="A211" s="33" t="s">
        <v>360</v>
      </c>
      <c r="B211" s="13">
        <v>46247</v>
      </c>
      <c r="C211" s="33" t="s">
        <v>127</v>
      </c>
      <c r="D211" s="33" t="s">
        <v>159</v>
      </c>
      <c r="E211" s="34" t="str">
        <f>IFERROR(VLOOKUP(D211,Masters!$A$5:$E$16,2,FALSE()),"")</f>
        <v>Delhi</v>
      </c>
      <c r="F211" s="34" t="str">
        <f>IFERROR(VLOOKUP(D211,Masters!$A$5:$E$16,3,FALSE()),"")</f>
        <v>Jaipur</v>
      </c>
      <c r="G211" s="35">
        <v>3060</v>
      </c>
      <c r="H211" s="36">
        <f>IFERROR(INDEX(Masters!$D$5:$D$16,MATCH(D211,Masters!$A$5:$A$16,0)),"")</f>
        <v>3.5</v>
      </c>
      <c r="I211" s="37">
        <f t="shared" si="15"/>
        <v>10710</v>
      </c>
      <c r="J211" s="33" t="s">
        <v>129</v>
      </c>
      <c r="K211" s="38">
        <f>IF(OR(B211="",D211=""),"",IFERROR(B211+VLOOKUP(D211,Masters!$A$5:$E$16,5,FALSE()),""))</f>
        <v>46249</v>
      </c>
      <c r="L211" s="13">
        <v>46250</v>
      </c>
      <c r="M211" s="33" t="s">
        <v>104</v>
      </c>
      <c r="N211" s="34">
        <f t="shared" si="16"/>
        <v>1</v>
      </c>
      <c r="O211" s="34" t="str">
        <f t="shared" si="17"/>
        <v>No</v>
      </c>
      <c r="P211" s="39">
        <f t="shared" si="18"/>
        <v>46235</v>
      </c>
      <c r="Q211" s="34" t="str">
        <f t="shared" si="19"/>
        <v>OK</v>
      </c>
    </row>
    <row r="212" spans="1:17" x14ac:dyDescent="0.3">
      <c r="A212" s="33" t="s">
        <v>361</v>
      </c>
      <c r="B212" s="13">
        <v>46247</v>
      </c>
      <c r="C212" s="33" t="s">
        <v>131</v>
      </c>
      <c r="D212" s="33" t="s">
        <v>159</v>
      </c>
      <c r="E212" s="34" t="str">
        <f>IFERROR(VLOOKUP(D212,Masters!$A$5:$E$16,2,FALSE()),"")</f>
        <v>Delhi</v>
      </c>
      <c r="F212" s="34" t="str">
        <f>IFERROR(VLOOKUP(D212,Masters!$A$5:$E$16,3,FALSE()),"")</f>
        <v>Jaipur</v>
      </c>
      <c r="G212" s="35">
        <v>4330</v>
      </c>
      <c r="H212" s="36">
        <f>IFERROR(INDEX(Masters!$D$5:$D$16,MATCH(D212,Masters!$A$5:$A$16,0)),"")</f>
        <v>3.5</v>
      </c>
      <c r="I212" s="37">
        <f t="shared" si="15"/>
        <v>15155</v>
      </c>
      <c r="J212" s="33" t="s">
        <v>129</v>
      </c>
      <c r="K212" s="38">
        <f>IF(OR(B212="",D212=""),"",IFERROR(B212+VLOOKUP(D212,Masters!$A$5:$E$16,5,FALSE()),""))</f>
        <v>46249</v>
      </c>
      <c r="L212" s="13">
        <v>46249</v>
      </c>
      <c r="M212" s="33" t="s">
        <v>104</v>
      </c>
      <c r="N212" s="34">
        <f t="shared" si="16"/>
        <v>0</v>
      </c>
      <c r="O212" s="34" t="str">
        <f t="shared" si="17"/>
        <v>Yes</v>
      </c>
      <c r="P212" s="39">
        <f t="shared" si="18"/>
        <v>46235</v>
      </c>
      <c r="Q212" s="34" t="str">
        <f t="shared" si="19"/>
        <v>OK</v>
      </c>
    </row>
    <row r="213" spans="1:17" x14ac:dyDescent="0.3">
      <c r="A213" s="33" t="s">
        <v>362</v>
      </c>
      <c r="B213" s="13">
        <v>46247</v>
      </c>
      <c r="C213" s="33" t="s">
        <v>156</v>
      </c>
      <c r="D213" s="33" t="s">
        <v>152</v>
      </c>
      <c r="E213" s="34" t="str">
        <f>IFERROR(VLOOKUP(D213,Masters!$A$5:$E$16,2,FALSE()),"")</f>
        <v>Delhi</v>
      </c>
      <c r="F213" s="34" t="str">
        <f>IFERROR(VLOOKUP(D213,Masters!$A$5:$E$16,3,FALSE()),"")</f>
        <v>Dehradun</v>
      </c>
      <c r="G213" s="35">
        <v>1880</v>
      </c>
      <c r="H213" s="36">
        <f>IFERROR(INDEX(Masters!$D$5:$D$16,MATCH(D213,Masters!$A$5:$A$16,0)),"")</f>
        <v>4</v>
      </c>
      <c r="I213" s="37">
        <f t="shared" si="15"/>
        <v>7520</v>
      </c>
      <c r="J213" s="33" t="s">
        <v>144</v>
      </c>
      <c r="K213" s="38">
        <f>IF(OR(B213="",D213=""),"",IFERROR(B213+VLOOKUP(D213,Masters!$A$5:$E$16,5,FALSE()),""))</f>
        <v>46249</v>
      </c>
      <c r="L213" s="13">
        <v>46250</v>
      </c>
      <c r="M213" s="33" t="s">
        <v>104</v>
      </c>
      <c r="N213" s="34">
        <f t="shared" si="16"/>
        <v>1</v>
      </c>
      <c r="O213" s="34" t="str">
        <f t="shared" si="17"/>
        <v>No</v>
      </c>
      <c r="P213" s="39">
        <f t="shared" si="18"/>
        <v>46235</v>
      </c>
      <c r="Q213" s="34" t="str">
        <f t="shared" si="19"/>
        <v>OK</v>
      </c>
    </row>
    <row r="214" spans="1:17" x14ac:dyDescent="0.3">
      <c r="A214" s="33" t="s">
        <v>363</v>
      </c>
      <c r="B214" s="13">
        <v>46248</v>
      </c>
      <c r="C214" s="33" t="s">
        <v>146</v>
      </c>
      <c r="D214" s="33" t="s">
        <v>154</v>
      </c>
      <c r="E214" s="34" t="str">
        <f>IFERROR(VLOOKUP(D214,Masters!$A$5:$E$16,2,FALSE()),"")</f>
        <v>Delhi</v>
      </c>
      <c r="F214" s="34" t="str">
        <f>IFERROR(VLOOKUP(D214,Masters!$A$5:$E$16,3,FALSE()),"")</f>
        <v>Bhopal</v>
      </c>
      <c r="G214" s="35">
        <v>4610</v>
      </c>
      <c r="H214" s="36">
        <f>IFERROR(INDEX(Masters!$D$5:$D$16,MATCH(D214,Masters!$A$5:$A$16,0)),"")</f>
        <v>8</v>
      </c>
      <c r="I214" s="37">
        <f t="shared" si="15"/>
        <v>36880</v>
      </c>
      <c r="J214" s="33" t="s">
        <v>129</v>
      </c>
      <c r="K214" s="38">
        <f>IF(OR(B214="",D214=""),"",IFERROR(B214+VLOOKUP(D214,Masters!$A$5:$E$16,5,FALSE()),""))</f>
        <v>46253</v>
      </c>
      <c r="L214" s="13">
        <v>46255</v>
      </c>
      <c r="M214" s="33" t="s">
        <v>104</v>
      </c>
      <c r="N214" s="34">
        <f t="shared" si="16"/>
        <v>2</v>
      </c>
      <c r="O214" s="34" t="str">
        <f t="shared" si="17"/>
        <v>No</v>
      </c>
      <c r="P214" s="39">
        <f t="shared" si="18"/>
        <v>46235</v>
      </c>
      <c r="Q214" s="34" t="str">
        <f t="shared" si="19"/>
        <v>OK</v>
      </c>
    </row>
    <row r="215" spans="1:17" x14ac:dyDescent="0.3">
      <c r="A215" s="33" t="s">
        <v>364</v>
      </c>
      <c r="B215" s="13">
        <v>46248</v>
      </c>
      <c r="C215" s="33" t="s">
        <v>142</v>
      </c>
      <c r="D215" s="33" t="s">
        <v>132</v>
      </c>
      <c r="E215" s="34" t="str">
        <f>IFERROR(VLOOKUP(D215,Masters!$A$5:$E$16,2,FALSE()),"")</f>
        <v>Delhi</v>
      </c>
      <c r="F215" s="34" t="str">
        <f>IFERROR(VLOOKUP(D215,Masters!$A$5:$E$16,3,FALSE()),"")</f>
        <v>Ahmedabad</v>
      </c>
      <c r="G215" s="35">
        <v>2280</v>
      </c>
      <c r="H215" s="36">
        <f>IFERROR(INDEX(Masters!$D$5:$D$16,MATCH(D215,Masters!$A$5:$A$16,0)),"")</f>
        <v>7.5</v>
      </c>
      <c r="I215" s="37">
        <f t="shared" si="15"/>
        <v>17100</v>
      </c>
      <c r="J215" s="33" t="s">
        <v>144</v>
      </c>
      <c r="K215" s="38">
        <f>IF(OR(B215="",D215=""),"",IFERROR(B215+VLOOKUP(D215,Masters!$A$5:$E$16,5,FALSE()),""))</f>
        <v>46252</v>
      </c>
      <c r="L215" s="13">
        <v>46257</v>
      </c>
      <c r="M215" s="33" t="s">
        <v>104</v>
      </c>
      <c r="N215" s="34">
        <f t="shared" si="16"/>
        <v>5</v>
      </c>
      <c r="O215" s="34" t="str">
        <f t="shared" si="17"/>
        <v>No</v>
      </c>
      <c r="P215" s="39">
        <f t="shared" si="18"/>
        <v>46235</v>
      </c>
      <c r="Q215" s="34" t="str">
        <f t="shared" si="19"/>
        <v>OK</v>
      </c>
    </row>
    <row r="216" spans="1:17" x14ac:dyDescent="0.3">
      <c r="A216" s="33" t="s">
        <v>365</v>
      </c>
      <c r="B216" s="13">
        <v>46249</v>
      </c>
      <c r="C216" s="33" t="s">
        <v>131</v>
      </c>
      <c r="D216" s="33" t="s">
        <v>161</v>
      </c>
      <c r="E216" s="34" t="str">
        <f>IFERROR(VLOOKUP(D216,Masters!$A$5:$E$16,2,FALSE()),"")</f>
        <v>Delhi</v>
      </c>
      <c r="F216" s="34" t="str">
        <f>IFERROR(VLOOKUP(D216,Masters!$A$5:$E$16,3,FALSE()),"")</f>
        <v>Chandigarh</v>
      </c>
      <c r="G216" s="35">
        <v>6370</v>
      </c>
      <c r="H216" s="36">
        <f>IFERROR(INDEX(Masters!$D$5:$D$16,MATCH(D216,Masters!$A$5:$A$16,0)),"")</f>
        <v>3</v>
      </c>
      <c r="I216" s="37">
        <f t="shared" si="15"/>
        <v>19110</v>
      </c>
      <c r="J216" s="33" t="s">
        <v>136</v>
      </c>
      <c r="K216" s="38">
        <f>IF(OR(B216="",D216=""),"",IFERROR(B216+VLOOKUP(D216,Masters!$A$5:$E$16,5,FALSE()),""))</f>
        <v>46251</v>
      </c>
      <c r="L216" s="13"/>
      <c r="M216" s="33" t="s">
        <v>104</v>
      </c>
      <c r="N216" s="34" t="str">
        <f t="shared" si="16"/>
        <v/>
      </c>
      <c r="O216" s="34" t="str">
        <f t="shared" si="17"/>
        <v/>
      </c>
      <c r="P216" s="39">
        <f t="shared" si="18"/>
        <v>46235</v>
      </c>
      <c r="Q216" s="34" t="str">
        <f t="shared" si="19"/>
        <v>Delivered But No Date</v>
      </c>
    </row>
    <row r="217" spans="1:17" x14ac:dyDescent="0.3">
      <c r="A217" s="33" t="s">
        <v>366</v>
      </c>
      <c r="B217" s="13">
        <v>46249</v>
      </c>
      <c r="C217" s="33" t="s">
        <v>167</v>
      </c>
      <c r="D217" s="33" t="s">
        <v>161</v>
      </c>
      <c r="E217" s="34" t="str">
        <f>IFERROR(VLOOKUP(D217,Masters!$A$5:$E$16,2,FALSE()),"")</f>
        <v>Delhi</v>
      </c>
      <c r="F217" s="34" t="str">
        <f>IFERROR(VLOOKUP(D217,Masters!$A$5:$E$16,3,FALSE()),"")</f>
        <v>Chandigarh</v>
      </c>
      <c r="G217" s="35">
        <v>7250</v>
      </c>
      <c r="H217" s="36">
        <f>IFERROR(INDEX(Masters!$D$5:$D$16,MATCH(D217,Masters!$A$5:$A$16,0)),"")</f>
        <v>3</v>
      </c>
      <c r="I217" s="37">
        <f t="shared" si="15"/>
        <v>21750</v>
      </c>
      <c r="J217" s="33" t="s">
        <v>136</v>
      </c>
      <c r="K217" s="38">
        <f>IF(OR(B217="",D217=""),"",IFERROR(B217+VLOOKUP(D217,Masters!$A$5:$E$16,5,FALSE()),""))</f>
        <v>46251</v>
      </c>
      <c r="L217" s="13">
        <v>46251</v>
      </c>
      <c r="M217" s="33" t="s">
        <v>104</v>
      </c>
      <c r="N217" s="34">
        <f t="shared" si="16"/>
        <v>0</v>
      </c>
      <c r="O217" s="34" t="str">
        <f t="shared" si="17"/>
        <v>Yes</v>
      </c>
      <c r="P217" s="39">
        <f t="shared" si="18"/>
        <v>46235</v>
      </c>
      <c r="Q217" s="34" t="str">
        <f t="shared" si="19"/>
        <v>OK</v>
      </c>
    </row>
    <row r="218" spans="1:17" x14ac:dyDescent="0.3">
      <c r="A218" s="33" t="s">
        <v>367</v>
      </c>
      <c r="B218" s="13">
        <v>46250</v>
      </c>
      <c r="C218" s="33" t="s">
        <v>127</v>
      </c>
      <c r="D218" s="33" t="s">
        <v>135</v>
      </c>
      <c r="E218" s="34" t="str">
        <f>IFERROR(VLOOKUP(D218,Masters!$A$5:$E$16,2,FALSE()),"")</f>
        <v>Delhi</v>
      </c>
      <c r="F218" s="34" t="str">
        <f>IFERROR(VLOOKUP(D218,Masters!$A$5:$E$16,3,FALSE()),"")</f>
        <v>Lucknow</v>
      </c>
      <c r="G218" s="35">
        <v>6790</v>
      </c>
      <c r="H218" s="36">
        <f>IFERROR(INDEX(Masters!$D$5:$D$16,MATCH(D218,Masters!$A$5:$A$16,0)),"")</f>
        <v>5.2</v>
      </c>
      <c r="I218" s="37">
        <f t="shared" si="15"/>
        <v>35308</v>
      </c>
      <c r="J218" s="33" t="s">
        <v>136</v>
      </c>
      <c r="K218" s="38">
        <f>IF(OR(B218="",D218=""),"",IFERROR(B218+VLOOKUP(D218,Masters!$A$5:$E$16,5,FALSE()),""))</f>
        <v>46253</v>
      </c>
      <c r="L218" s="13">
        <v>46254</v>
      </c>
      <c r="M218" s="33" t="s">
        <v>104</v>
      </c>
      <c r="N218" s="34">
        <f t="shared" si="16"/>
        <v>1</v>
      </c>
      <c r="O218" s="34" t="str">
        <f t="shared" si="17"/>
        <v>No</v>
      </c>
      <c r="P218" s="39">
        <f t="shared" si="18"/>
        <v>46235</v>
      </c>
      <c r="Q218" s="34" t="str">
        <f t="shared" si="19"/>
        <v>OK</v>
      </c>
    </row>
    <row r="219" spans="1:17" x14ac:dyDescent="0.3">
      <c r="A219" s="33" t="s">
        <v>368</v>
      </c>
      <c r="B219" s="13">
        <v>46250</v>
      </c>
      <c r="C219" s="33" t="s">
        <v>142</v>
      </c>
      <c r="D219" s="33" t="s">
        <v>152</v>
      </c>
      <c r="E219" s="34" t="str">
        <f>IFERROR(VLOOKUP(D219,Masters!$A$5:$E$16,2,FALSE()),"")</f>
        <v>Delhi</v>
      </c>
      <c r="F219" s="34" t="str">
        <f>IFERROR(VLOOKUP(D219,Masters!$A$5:$E$16,3,FALSE()),"")</f>
        <v>Dehradun</v>
      </c>
      <c r="G219" s="35">
        <v>4650</v>
      </c>
      <c r="H219" s="36">
        <f>IFERROR(INDEX(Masters!$D$5:$D$16,MATCH(D219,Masters!$A$5:$A$16,0)),"")</f>
        <v>4</v>
      </c>
      <c r="I219" s="37">
        <f t="shared" si="15"/>
        <v>18600</v>
      </c>
      <c r="J219" s="33" t="s">
        <v>129</v>
      </c>
      <c r="K219" s="38">
        <f>IF(OR(B219="",D219=""),"",IFERROR(B219+VLOOKUP(D219,Masters!$A$5:$E$16,5,FALSE()),""))</f>
        <v>46252</v>
      </c>
      <c r="L219" s="13">
        <v>46254</v>
      </c>
      <c r="M219" s="33" t="s">
        <v>104</v>
      </c>
      <c r="N219" s="34">
        <f t="shared" si="16"/>
        <v>2</v>
      </c>
      <c r="O219" s="34" t="str">
        <f t="shared" si="17"/>
        <v>No</v>
      </c>
      <c r="P219" s="39">
        <f t="shared" si="18"/>
        <v>46235</v>
      </c>
      <c r="Q219" s="34" t="str">
        <f t="shared" si="19"/>
        <v>OK</v>
      </c>
    </row>
    <row r="220" spans="1:17" x14ac:dyDescent="0.3">
      <c r="A220" s="33" t="s">
        <v>369</v>
      </c>
      <c r="B220" s="13">
        <v>46250</v>
      </c>
      <c r="C220" s="33" t="s">
        <v>146</v>
      </c>
      <c r="D220" s="33" t="s">
        <v>143</v>
      </c>
      <c r="E220" s="34" t="str">
        <f>IFERROR(VLOOKUP(D220,Masters!$A$5:$E$16,2,FALSE()),"")</f>
        <v>Delhi</v>
      </c>
      <c r="F220" s="34" t="str">
        <f>IFERROR(VLOOKUP(D220,Masters!$A$5:$E$16,3,FALSE()),"")</f>
        <v>Kanpur</v>
      </c>
      <c r="G220" s="35">
        <v>1270</v>
      </c>
      <c r="H220" s="36">
        <f>IFERROR(INDEX(Masters!$D$5:$D$16,MATCH(D220,Masters!$A$5:$A$16,0)),"")</f>
        <v>4.5</v>
      </c>
      <c r="I220" s="37">
        <f t="shared" si="15"/>
        <v>5715</v>
      </c>
      <c r="J220" s="33" t="s">
        <v>144</v>
      </c>
      <c r="K220" s="38">
        <f>IF(OR(B220="",D220=""),"",IFERROR(B220+VLOOKUP(D220,Masters!$A$5:$E$16,5,FALSE()),""))</f>
        <v>46253</v>
      </c>
      <c r="L220" s="13">
        <v>46255</v>
      </c>
      <c r="M220" s="33" t="s">
        <v>104</v>
      </c>
      <c r="N220" s="34">
        <f t="shared" si="16"/>
        <v>2</v>
      </c>
      <c r="O220" s="34" t="str">
        <f t="shared" si="17"/>
        <v>No</v>
      </c>
      <c r="P220" s="39">
        <f t="shared" si="18"/>
        <v>46235</v>
      </c>
      <c r="Q220" s="34" t="str">
        <f t="shared" si="19"/>
        <v>OK</v>
      </c>
    </row>
    <row r="221" spans="1:17" x14ac:dyDescent="0.3">
      <c r="A221" s="33" t="s">
        <v>370</v>
      </c>
      <c r="B221" s="13">
        <v>46250</v>
      </c>
      <c r="C221" s="33" t="s">
        <v>127</v>
      </c>
      <c r="D221" s="33" t="s">
        <v>140</v>
      </c>
      <c r="E221" s="34" t="str">
        <f>IFERROR(VLOOKUP(D221,Masters!$A$5:$E$16,2,FALSE()),"")</f>
        <v>Delhi</v>
      </c>
      <c r="F221" s="34" t="str">
        <f>IFERROR(VLOOKUP(D221,Masters!$A$5:$E$16,3,FALSE()),"")</f>
        <v>Mumbai</v>
      </c>
      <c r="G221" s="35">
        <v>3890</v>
      </c>
      <c r="H221" s="36">
        <f>IFERROR(INDEX(Masters!$D$5:$D$16,MATCH(D221,Masters!$A$5:$A$16,0)),"")</f>
        <v>9.5</v>
      </c>
      <c r="I221" s="37">
        <f t="shared" si="15"/>
        <v>36955</v>
      </c>
      <c r="J221" s="33" t="s">
        <v>129</v>
      </c>
      <c r="K221" s="38">
        <f>IF(OR(B221="",D221=""),"",IFERROR(B221+VLOOKUP(D221,Masters!$A$5:$E$16,5,FALSE()),""))</f>
        <v>46256</v>
      </c>
      <c r="L221" s="13">
        <v>46257</v>
      </c>
      <c r="M221" s="33" t="s">
        <v>104</v>
      </c>
      <c r="N221" s="34">
        <f t="shared" si="16"/>
        <v>1</v>
      </c>
      <c r="O221" s="34" t="str">
        <f t="shared" si="17"/>
        <v>No</v>
      </c>
      <c r="P221" s="39">
        <f t="shared" si="18"/>
        <v>46235</v>
      </c>
      <c r="Q221" s="34" t="str">
        <f t="shared" si="19"/>
        <v>OK</v>
      </c>
    </row>
    <row r="222" spans="1:17" x14ac:dyDescent="0.3">
      <c r="A222" s="33" t="s">
        <v>371</v>
      </c>
      <c r="B222" s="13">
        <v>46250</v>
      </c>
      <c r="C222" s="33" t="s">
        <v>151</v>
      </c>
      <c r="D222" s="33" t="s">
        <v>128</v>
      </c>
      <c r="E222" s="34" t="str">
        <f>IFERROR(VLOOKUP(D222,Masters!$A$5:$E$16,2,FALSE()),"")</f>
        <v>Ghaziabad</v>
      </c>
      <c r="F222" s="34" t="str">
        <f>IFERROR(VLOOKUP(D222,Masters!$A$5:$E$16,3,FALSE()),"")</f>
        <v>Meerut</v>
      </c>
      <c r="G222" s="35">
        <v>4360</v>
      </c>
      <c r="H222" s="36">
        <f>IFERROR(INDEX(Masters!$D$5:$D$16,MATCH(D222,Masters!$A$5:$A$16,0)),"")</f>
        <v>1.8</v>
      </c>
      <c r="I222" s="37">
        <f t="shared" si="15"/>
        <v>7848</v>
      </c>
      <c r="J222" s="33" t="s">
        <v>129</v>
      </c>
      <c r="K222" s="38">
        <f>IF(OR(B222="",D222=""),"",IFERROR(B222+VLOOKUP(D222,Masters!$A$5:$E$16,5,FALSE()),""))</f>
        <v>46251</v>
      </c>
      <c r="L222" s="13">
        <v>46254</v>
      </c>
      <c r="M222" s="33" t="s">
        <v>104</v>
      </c>
      <c r="N222" s="34">
        <f t="shared" si="16"/>
        <v>3</v>
      </c>
      <c r="O222" s="34" t="str">
        <f t="shared" si="17"/>
        <v>No</v>
      </c>
      <c r="P222" s="39">
        <f t="shared" si="18"/>
        <v>46235</v>
      </c>
      <c r="Q222" s="34" t="str">
        <f t="shared" si="19"/>
        <v>OK</v>
      </c>
    </row>
    <row r="223" spans="1:17" x14ac:dyDescent="0.3">
      <c r="A223" s="33" t="s">
        <v>372</v>
      </c>
      <c r="B223" s="13">
        <v>46251</v>
      </c>
      <c r="C223" s="33" t="s">
        <v>142</v>
      </c>
      <c r="D223" s="33" t="s">
        <v>159</v>
      </c>
      <c r="E223" s="34" t="str">
        <f>IFERROR(VLOOKUP(D223,Masters!$A$5:$E$16,2,FALSE()),"")</f>
        <v>Delhi</v>
      </c>
      <c r="F223" s="34" t="str">
        <f>IFERROR(VLOOKUP(D223,Masters!$A$5:$E$16,3,FALSE()),"")</f>
        <v>Jaipur</v>
      </c>
      <c r="G223" s="35">
        <v>7880</v>
      </c>
      <c r="H223" s="36">
        <f>IFERROR(INDEX(Masters!$D$5:$D$16,MATCH(D223,Masters!$A$5:$A$16,0)),"")</f>
        <v>3.5</v>
      </c>
      <c r="I223" s="37">
        <f t="shared" si="15"/>
        <v>27580</v>
      </c>
      <c r="J223" s="33" t="s">
        <v>136</v>
      </c>
      <c r="K223" s="38">
        <f>IF(OR(B223="",D223=""),"",IFERROR(B223+VLOOKUP(D223,Masters!$A$5:$E$16,5,FALSE()),""))</f>
        <v>46253</v>
      </c>
      <c r="L223" s="13">
        <v>46256</v>
      </c>
      <c r="M223" s="33" t="s">
        <v>104</v>
      </c>
      <c r="N223" s="34">
        <f t="shared" si="16"/>
        <v>3</v>
      </c>
      <c r="O223" s="34" t="str">
        <f t="shared" si="17"/>
        <v>No</v>
      </c>
      <c r="P223" s="39">
        <f t="shared" si="18"/>
        <v>46235</v>
      </c>
      <c r="Q223" s="34" t="str">
        <f t="shared" si="19"/>
        <v>OK</v>
      </c>
    </row>
    <row r="224" spans="1:17" x14ac:dyDescent="0.3">
      <c r="A224" s="33" t="s">
        <v>373</v>
      </c>
      <c r="B224" s="13">
        <v>46251</v>
      </c>
      <c r="C224" s="33" t="s">
        <v>127</v>
      </c>
      <c r="D224" s="33" t="s">
        <v>159</v>
      </c>
      <c r="E224" s="34" t="str">
        <f>IFERROR(VLOOKUP(D224,Masters!$A$5:$E$16,2,FALSE()),"")</f>
        <v>Delhi</v>
      </c>
      <c r="F224" s="34" t="str">
        <f>IFERROR(VLOOKUP(D224,Masters!$A$5:$E$16,3,FALSE()),"")</f>
        <v>Jaipur</v>
      </c>
      <c r="G224" s="35">
        <v>10250</v>
      </c>
      <c r="H224" s="36">
        <f>IFERROR(INDEX(Masters!$D$5:$D$16,MATCH(D224,Masters!$A$5:$A$16,0)),"")</f>
        <v>3.5</v>
      </c>
      <c r="I224" s="37">
        <f t="shared" si="15"/>
        <v>35875</v>
      </c>
      <c r="J224" s="33" t="s">
        <v>157</v>
      </c>
      <c r="K224" s="38">
        <f>IF(OR(B224="",D224=""),"",IFERROR(B224+VLOOKUP(D224,Masters!$A$5:$E$16,5,FALSE()),""))</f>
        <v>46253</v>
      </c>
      <c r="L224" s="13">
        <v>46254</v>
      </c>
      <c r="M224" s="33" t="s">
        <v>104</v>
      </c>
      <c r="N224" s="34">
        <f t="shared" si="16"/>
        <v>1</v>
      </c>
      <c r="O224" s="34" t="str">
        <f t="shared" si="17"/>
        <v>No</v>
      </c>
      <c r="P224" s="39">
        <f t="shared" si="18"/>
        <v>46235</v>
      </c>
      <c r="Q224" s="34" t="str">
        <f t="shared" si="19"/>
        <v>OK</v>
      </c>
    </row>
    <row r="225" spans="1:17" x14ac:dyDescent="0.3">
      <c r="A225" s="33" t="s">
        <v>374</v>
      </c>
      <c r="B225" s="13">
        <v>46252</v>
      </c>
      <c r="C225" s="33" t="s">
        <v>146</v>
      </c>
      <c r="D225" s="33" t="s">
        <v>132</v>
      </c>
      <c r="E225" s="34" t="str">
        <f>IFERROR(VLOOKUP(D225,Masters!$A$5:$E$16,2,FALSE()),"")</f>
        <v>Delhi</v>
      </c>
      <c r="F225" s="34" t="str">
        <f>IFERROR(VLOOKUP(D225,Masters!$A$5:$E$16,3,FALSE()),"")</f>
        <v>Ahmedabad</v>
      </c>
      <c r="G225" s="35">
        <v>3620</v>
      </c>
      <c r="H225" s="36">
        <f>IFERROR(INDEX(Masters!$D$5:$D$16,MATCH(D225,Masters!$A$5:$A$16,0)),"")</f>
        <v>7.5</v>
      </c>
      <c r="I225" s="37">
        <f t="shared" si="15"/>
        <v>27150</v>
      </c>
      <c r="J225" s="33" t="s">
        <v>129</v>
      </c>
      <c r="K225" s="38">
        <f>IF(OR(B225="",D225=""),"",IFERROR(B225+VLOOKUP(D225,Masters!$A$5:$E$16,5,FALSE()),""))</f>
        <v>46256</v>
      </c>
      <c r="L225" s="13">
        <v>46257</v>
      </c>
      <c r="M225" s="33" t="s">
        <v>104</v>
      </c>
      <c r="N225" s="34">
        <f t="shared" si="16"/>
        <v>1</v>
      </c>
      <c r="O225" s="34" t="str">
        <f t="shared" si="17"/>
        <v>No</v>
      </c>
      <c r="P225" s="39">
        <f t="shared" si="18"/>
        <v>46235</v>
      </c>
      <c r="Q225" s="34" t="str">
        <f t="shared" si="19"/>
        <v>OK</v>
      </c>
    </row>
    <row r="226" spans="1:17" x14ac:dyDescent="0.3">
      <c r="A226" s="33" t="s">
        <v>375</v>
      </c>
      <c r="B226" s="13">
        <v>46252</v>
      </c>
      <c r="C226" s="33" t="s">
        <v>171</v>
      </c>
      <c r="D226" s="33" t="s">
        <v>161</v>
      </c>
      <c r="E226" s="34" t="str">
        <f>IFERROR(VLOOKUP(D226,Masters!$A$5:$E$16,2,FALSE()),"")</f>
        <v>Delhi</v>
      </c>
      <c r="F226" s="34" t="str">
        <f>IFERROR(VLOOKUP(D226,Masters!$A$5:$E$16,3,FALSE()),"")</f>
        <v>Chandigarh</v>
      </c>
      <c r="G226" s="35">
        <v>4730</v>
      </c>
      <c r="H226" s="36">
        <f>IFERROR(INDEX(Masters!$D$5:$D$16,MATCH(D226,Masters!$A$5:$A$16,0)),"")</f>
        <v>3</v>
      </c>
      <c r="I226" s="37">
        <f t="shared" si="15"/>
        <v>14190</v>
      </c>
      <c r="J226" s="33" t="s">
        <v>129</v>
      </c>
      <c r="K226" s="38">
        <f>IF(OR(B226="",D226=""),"",IFERROR(B226+VLOOKUP(D226,Masters!$A$5:$E$16,5,FALSE()),""))</f>
        <v>46254</v>
      </c>
      <c r="L226" s="13">
        <v>46253</v>
      </c>
      <c r="M226" s="33" t="s">
        <v>104</v>
      </c>
      <c r="N226" s="34">
        <f t="shared" si="16"/>
        <v>0</v>
      </c>
      <c r="O226" s="34" t="str">
        <f t="shared" si="17"/>
        <v>Yes</v>
      </c>
      <c r="P226" s="39">
        <f t="shared" si="18"/>
        <v>46235</v>
      </c>
      <c r="Q226" s="34" t="str">
        <f t="shared" si="19"/>
        <v>OK</v>
      </c>
    </row>
    <row r="227" spans="1:17" x14ac:dyDescent="0.3">
      <c r="A227" s="33" t="s">
        <v>376</v>
      </c>
      <c r="B227" s="13">
        <v>46252</v>
      </c>
      <c r="C227" s="33" t="s">
        <v>146</v>
      </c>
      <c r="D227" s="33" t="s">
        <v>220</v>
      </c>
      <c r="E227" s="34" t="str">
        <f>IFERROR(VLOOKUP(D227,Masters!$A$5:$E$16,2,FALSE()),"")</f>
        <v>Delhi</v>
      </c>
      <c r="F227" s="34" t="str">
        <f>IFERROR(VLOOKUP(D227,Masters!$A$5:$E$16,3,FALSE()),"")</f>
        <v>Indore</v>
      </c>
      <c r="G227" s="35">
        <v>1680</v>
      </c>
      <c r="H227" s="36">
        <f>IFERROR(INDEX(Masters!$D$5:$D$16,MATCH(D227,Masters!$A$5:$A$16,0)),"")</f>
        <v>9</v>
      </c>
      <c r="I227" s="37">
        <f t="shared" si="15"/>
        <v>15120</v>
      </c>
      <c r="J227" s="33" t="s">
        <v>144</v>
      </c>
      <c r="K227" s="38">
        <f>IF(OR(B227="",D227=""),"",IFERROR(B227+VLOOKUP(D227,Masters!$A$5:$E$16,5,FALSE()),""))</f>
        <v>46257</v>
      </c>
      <c r="L227" s="13">
        <v>46257</v>
      </c>
      <c r="M227" s="33" t="s">
        <v>104</v>
      </c>
      <c r="N227" s="34">
        <f t="shared" si="16"/>
        <v>0</v>
      </c>
      <c r="O227" s="34" t="str">
        <f t="shared" si="17"/>
        <v>Yes</v>
      </c>
      <c r="P227" s="39">
        <f t="shared" si="18"/>
        <v>46235</v>
      </c>
      <c r="Q227" s="34" t="str">
        <f t="shared" si="19"/>
        <v>OK</v>
      </c>
    </row>
    <row r="228" spans="1:17" x14ac:dyDescent="0.3">
      <c r="A228" s="33" t="s">
        <v>377</v>
      </c>
      <c r="B228" s="13">
        <v>46253</v>
      </c>
      <c r="C228" s="33" t="s">
        <v>171</v>
      </c>
      <c r="D228" s="33" t="s">
        <v>138</v>
      </c>
      <c r="E228" s="34" t="str">
        <f>IFERROR(VLOOKUP(D228,Masters!$A$5:$E$16,2,FALSE()),"")</f>
        <v>Delhi</v>
      </c>
      <c r="F228" s="34" t="str">
        <f>IFERROR(VLOOKUP(D228,Masters!$A$5:$E$16,3,FALSE()),"")</f>
        <v>Kolkata</v>
      </c>
      <c r="G228" s="35">
        <v>4350</v>
      </c>
      <c r="H228" s="36">
        <f>IFERROR(INDEX(Masters!$D$5:$D$16,MATCH(D228,Masters!$A$5:$A$16,0)),"")</f>
        <v>12</v>
      </c>
      <c r="I228" s="37">
        <f t="shared" si="15"/>
        <v>52200</v>
      </c>
      <c r="J228" s="33" t="s">
        <v>129</v>
      </c>
      <c r="K228" s="38">
        <f>IF(OR(B228="",D228=""),"",IFERROR(B228+VLOOKUP(D228,Masters!$A$5:$E$16,5,FALSE()),""))</f>
        <v>46260</v>
      </c>
      <c r="L228" s="13">
        <v>46260</v>
      </c>
      <c r="M228" s="33" t="s">
        <v>104</v>
      </c>
      <c r="N228" s="34">
        <f t="shared" si="16"/>
        <v>0</v>
      </c>
      <c r="O228" s="34" t="str">
        <f t="shared" si="17"/>
        <v>Yes</v>
      </c>
      <c r="P228" s="39">
        <f t="shared" si="18"/>
        <v>46235</v>
      </c>
      <c r="Q228" s="34" t="str">
        <f t="shared" si="19"/>
        <v>OK</v>
      </c>
    </row>
    <row r="229" spans="1:17" x14ac:dyDescent="0.3">
      <c r="A229" s="33" t="s">
        <v>378</v>
      </c>
      <c r="B229" s="13">
        <v>46254</v>
      </c>
      <c r="C229" s="33" t="s">
        <v>146</v>
      </c>
      <c r="D229" s="33" t="s">
        <v>159</v>
      </c>
      <c r="E229" s="34" t="str">
        <f>IFERROR(VLOOKUP(D229,Masters!$A$5:$E$16,2,FALSE()),"")</f>
        <v>Delhi</v>
      </c>
      <c r="F229" s="34" t="str">
        <f>IFERROR(VLOOKUP(D229,Masters!$A$5:$E$16,3,FALSE()),"")</f>
        <v>Jaipur</v>
      </c>
      <c r="G229" s="35">
        <v>9960</v>
      </c>
      <c r="H229" s="36">
        <f>IFERROR(INDEX(Masters!$D$5:$D$16,MATCH(D229,Masters!$A$5:$A$16,0)),"")</f>
        <v>3.5</v>
      </c>
      <c r="I229" s="37">
        <f t="shared" si="15"/>
        <v>34860</v>
      </c>
      <c r="J229" s="33" t="s">
        <v>157</v>
      </c>
      <c r="K229" s="38">
        <f>IF(OR(B229="",D229=""),"",IFERROR(B229+VLOOKUP(D229,Masters!$A$5:$E$16,5,FALSE()),""))</f>
        <v>46256</v>
      </c>
      <c r="L229" s="13">
        <v>46257</v>
      </c>
      <c r="M229" s="33" t="s">
        <v>104</v>
      </c>
      <c r="N229" s="34">
        <f t="shared" si="16"/>
        <v>1</v>
      </c>
      <c r="O229" s="34" t="str">
        <f t="shared" si="17"/>
        <v>No</v>
      </c>
      <c r="P229" s="39">
        <f t="shared" si="18"/>
        <v>46235</v>
      </c>
      <c r="Q229" s="34" t="str">
        <f t="shared" si="19"/>
        <v>OK</v>
      </c>
    </row>
    <row r="230" spans="1:17" x14ac:dyDescent="0.3">
      <c r="A230" s="33" t="s">
        <v>379</v>
      </c>
      <c r="B230" s="13">
        <v>46254</v>
      </c>
      <c r="C230" s="33" t="s">
        <v>146</v>
      </c>
      <c r="D230" s="33" t="s">
        <v>159</v>
      </c>
      <c r="E230" s="34" t="str">
        <f>IFERROR(VLOOKUP(D230,Masters!$A$5:$E$16,2,FALSE()),"")</f>
        <v>Delhi</v>
      </c>
      <c r="F230" s="34" t="str">
        <f>IFERROR(VLOOKUP(D230,Masters!$A$5:$E$16,3,FALSE()),"")</f>
        <v>Jaipur</v>
      </c>
      <c r="G230" s="35">
        <v>1110</v>
      </c>
      <c r="H230" s="36">
        <f>IFERROR(INDEX(Masters!$D$5:$D$16,MATCH(D230,Masters!$A$5:$A$16,0)),"")</f>
        <v>3.5</v>
      </c>
      <c r="I230" s="37">
        <f t="shared" si="15"/>
        <v>3885</v>
      </c>
      <c r="J230" s="33" t="s">
        <v>144</v>
      </c>
      <c r="K230" s="38">
        <f>IF(OR(B230="",D230=""),"",IFERROR(B230+VLOOKUP(D230,Masters!$A$5:$E$16,5,FALSE()),""))</f>
        <v>46256</v>
      </c>
      <c r="L230" s="13">
        <v>46257</v>
      </c>
      <c r="M230" s="33" t="s">
        <v>104</v>
      </c>
      <c r="N230" s="34">
        <f t="shared" si="16"/>
        <v>1</v>
      </c>
      <c r="O230" s="34" t="str">
        <f t="shared" si="17"/>
        <v>No</v>
      </c>
      <c r="P230" s="39">
        <f t="shared" si="18"/>
        <v>46235</v>
      </c>
      <c r="Q230" s="34" t="str">
        <f t="shared" si="19"/>
        <v>OK</v>
      </c>
    </row>
    <row r="231" spans="1:17" x14ac:dyDescent="0.3">
      <c r="A231" s="33" t="s">
        <v>380</v>
      </c>
      <c r="B231" s="13">
        <v>46254</v>
      </c>
      <c r="C231" s="33" t="s">
        <v>127</v>
      </c>
      <c r="D231" s="33" t="s">
        <v>135</v>
      </c>
      <c r="E231" s="34" t="str">
        <f>IFERROR(VLOOKUP(D231,Masters!$A$5:$E$16,2,FALSE()),"")</f>
        <v>Delhi</v>
      </c>
      <c r="F231" s="34" t="str">
        <f>IFERROR(VLOOKUP(D231,Masters!$A$5:$E$16,3,FALSE()),"")</f>
        <v>Lucknow</v>
      </c>
      <c r="G231" s="35">
        <v>3160</v>
      </c>
      <c r="H231" s="36">
        <f>IFERROR(INDEX(Masters!$D$5:$D$16,MATCH(D231,Masters!$A$5:$A$16,0)),"")</f>
        <v>5.2</v>
      </c>
      <c r="I231" s="37">
        <f t="shared" si="15"/>
        <v>16432</v>
      </c>
      <c r="J231" s="33" t="s">
        <v>129</v>
      </c>
      <c r="K231" s="38">
        <f>IF(OR(B231="",D231=""),"",IFERROR(B231+VLOOKUP(D231,Masters!$A$5:$E$16,5,FALSE()),""))</f>
        <v>46257</v>
      </c>
      <c r="L231" s="13">
        <v>46257</v>
      </c>
      <c r="M231" s="33" t="s">
        <v>104</v>
      </c>
      <c r="N231" s="34">
        <f t="shared" si="16"/>
        <v>0</v>
      </c>
      <c r="O231" s="34" t="str">
        <f t="shared" si="17"/>
        <v>Yes</v>
      </c>
      <c r="P231" s="39">
        <f t="shared" si="18"/>
        <v>46235</v>
      </c>
      <c r="Q231" s="34" t="str">
        <f t="shared" si="19"/>
        <v>OK</v>
      </c>
    </row>
    <row r="232" spans="1:17" x14ac:dyDescent="0.3">
      <c r="A232" s="33" t="s">
        <v>381</v>
      </c>
      <c r="B232" s="13">
        <v>46254</v>
      </c>
      <c r="C232" s="33"/>
      <c r="D232" s="33" t="s">
        <v>152</v>
      </c>
      <c r="E232" s="34" t="str">
        <f>IFERROR(VLOOKUP(D232,Masters!$A$5:$E$16,2,FALSE()),"")</f>
        <v>Delhi</v>
      </c>
      <c r="F232" s="34" t="str">
        <f>IFERROR(VLOOKUP(D232,Masters!$A$5:$E$16,3,FALSE()),"")</f>
        <v>Dehradun</v>
      </c>
      <c r="G232" s="35">
        <v>4370</v>
      </c>
      <c r="H232" s="36">
        <f>IFERROR(INDEX(Masters!$D$5:$D$16,MATCH(D232,Masters!$A$5:$A$16,0)),"")</f>
        <v>4</v>
      </c>
      <c r="I232" s="37">
        <f t="shared" si="15"/>
        <v>17480</v>
      </c>
      <c r="J232" s="33" t="s">
        <v>129</v>
      </c>
      <c r="K232" s="38">
        <f>IF(OR(B232="",D232=""),"",IFERROR(B232+VLOOKUP(D232,Masters!$A$5:$E$16,5,FALSE()),""))</f>
        <v>46256</v>
      </c>
      <c r="L232" s="13">
        <v>46256</v>
      </c>
      <c r="M232" s="33" t="s">
        <v>104</v>
      </c>
      <c r="N232" s="34">
        <f t="shared" si="16"/>
        <v>0</v>
      </c>
      <c r="O232" s="34" t="str">
        <f t="shared" si="17"/>
        <v>Yes</v>
      </c>
      <c r="P232" s="39">
        <f t="shared" si="18"/>
        <v>46235</v>
      </c>
      <c r="Q232" s="34" t="str">
        <f t="shared" si="19"/>
        <v>Missing Field</v>
      </c>
    </row>
    <row r="233" spans="1:17" x14ac:dyDescent="0.3">
      <c r="A233" s="33" t="s">
        <v>382</v>
      </c>
      <c r="B233" s="13">
        <v>46254</v>
      </c>
      <c r="C233" s="33" t="s">
        <v>180</v>
      </c>
      <c r="D233" s="33" t="s">
        <v>220</v>
      </c>
      <c r="E233" s="34" t="str">
        <f>IFERROR(VLOOKUP(D233,Masters!$A$5:$E$16,2,FALSE()),"")</f>
        <v>Delhi</v>
      </c>
      <c r="F233" s="34" t="str">
        <f>IFERROR(VLOOKUP(D233,Masters!$A$5:$E$16,3,FALSE()),"")</f>
        <v>Indore</v>
      </c>
      <c r="G233" s="35">
        <v>2800</v>
      </c>
      <c r="H233" s="36">
        <f>IFERROR(INDEX(Masters!$D$5:$D$16,MATCH(D233,Masters!$A$5:$A$16,0)),"")</f>
        <v>9</v>
      </c>
      <c r="I233" s="37">
        <f t="shared" si="15"/>
        <v>25200</v>
      </c>
      <c r="J233" s="33" t="s">
        <v>129</v>
      </c>
      <c r="K233" s="38">
        <f>IF(OR(B233="",D233=""),"",IFERROR(B233+VLOOKUP(D233,Masters!$A$5:$E$16,5,FALSE()),""))</f>
        <v>46259</v>
      </c>
      <c r="L233" s="13">
        <v>46260</v>
      </c>
      <c r="M233" s="33" t="s">
        <v>104</v>
      </c>
      <c r="N233" s="34">
        <f t="shared" si="16"/>
        <v>1</v>
      </c>
      <c r="O233" s="34" t="str">
        <f t="shared" si="17"/>
        <v>No</v>
      </c>
      <c r="P233" s="39">
        <f t="shared" si="18"/>
        <v>46235</v>
      </c>
      <c r="Q233" s="34" t="str">
        <f t="shared" si="19"/>
        <v>OK</v>
      </c>
    </row>
    <row r="234" spans="1:17" x14ac:dyDescent="0.3">
      <c r="A234" s="33" t="s">
        <v>383</v>
      </c>
      <c r="B234" s="13">
        <v>46255</v>
      </c>
      <c r="C234" s="33" t="s">
        <v>131</v>
      </c>
      <c r="D234" s="33" t="s">
        <v>143</v>
      </c>
      <c r="E234" s="34" t="str">
        <f>IFERROR(VLOOKUP(D234,Masters!$A$5:$E$16,2,FALSE()),"")</f>
        <v>Delhi</v>
      </c>
      <c r="F234" s="34" t="str">
        <f>IFERROR(VLOOKUP(D234,Masters!$A$5:$E$16,3,FALSE()),"")</f>
        <v>Kanpur</v>
      </c>
      <c r="G234" s="35">
        <v>10040</v>
      </c>
      <c r="H234" s="36">
        <f>IFERROR(INDEX(Masters!$D$5:$D$16,MATCH(D234,Masters!$A$5:$A$16,0)),"")</f>
        <v>4.5</v>
      </c>
      <c r="I234" s="37">
        <f t="shared" si="15"/>
        <v>45180</v>
      </c>
      <c r="J234" s="33" t="s">
        <v>157</v>
      </c>
      <c r="K234" s="38">
        <f>IF(OR(B234="",D234=""),"",IFERROR(B234+VLOOKUP(D234,Masters!$A$5:$E$16,5,FALSE()),""))</f>
        <v>46258</v>
      </c>
      <c r="L234" s="13">
        <v>46258</v>
      </c>
      <c r="M234" s="33" t="s">
        <v>104</v>
      </c>
      <c r="N234" s="34">
        <f t="shared" si="16"/>
        <v>0</v>
      </c>
      <c r="O234" s="34" t="str">
        <f t="shared" si="17"/>
        <v>Yes</v>
      </c>
      <c r="P234" s="39">
        <f t="shared" si="18"/>
        <v>46235</v>
      </c>
      <c r="Q234" s="34" t="str">
        <f t="shared" si="19"/>
        <v>OK</v>
      </c>
    </row>
    <row r="235" spans="1:17" x14ac:dyDescent="0.3">
      <c r="A235" s="33" t="s">
        <v>384</v>
      </c>
      <c r="B235" s="13">
        <v>46256</v>
      </c>
      <c r="C235" s="33" t="s">
        <v>142</v>
      </c>
      <c r="D235" s="33" t="s">
        <v>143</v>
      </c>
      <c r="E235" s="34" t="str">
        <f>IFERROR(VLOOKUP(D235,Masters!$A$5:$E$16,2,FALSE()),"")</f>
        <v>Delhi</v>
      </c>
      <c r="F235" s="34" t="str">
        <f>IFERROR(VLOOKUP(D235,Masters!$A$5:$E$16,3,FALSE()),"")</f>
        <v>Kanpur</v>
      </c>
      <c r="G235" s="35">
        <v>7670</v>
      </c>
      <c r="H235" s="36">
        <f>IFERROR(INDEX(Masters!$D$5:$D$16,MATCH(D235,Masters!$A$5:$A$16,0)),"")</f>
        <v>4.5</v>
      </c>
      <c r="I235" s="37">
        <f t="shared" si="15"/>
        <v>34515</v>
      </c>
      <c r="J235" s="33" t="s">
        <v>136</v>
      </c>
      <c r="K235" s="38">
        <f>IF(OR(B235="",D235=""),"",IFERROR(B235+VLOOKUP(D235,Masters!$A$5:$E$16,5,FALSE()),""))</f>
        <v>46259</v>
      </c>
      <c r="L235" s="13">
        <v>46259</v>
      </c>
      <c r="M235" s="33" t="s">
        <v>104</v>
      </c>
      <c r="N235" s="34">
        <f t="shared" si="16"/>
        <v>0</v>
      </c>
      <c r="O235" s="34" t="str">
        <f t="shared" si="17"/>
        <v>Yes</v>
      </c>
      <c r="P235" s="39">
        <f t="shared" si="18"/>
        <v>46235</v>
      </c>
      <c r="Q235" s="34" t="str">
        <f t="shared" si="19"/>
        <v>OK</v>
      </c>
    </row>
    <row r="236" spans="1:17" x14ac:dyDescent="0.3">
      <c r="A236" s="33" t="s">
        <v>385</v>
      </c>
      <c r="B236" s="13">
        <v>46256</v>
      </c>
      <c r="C236" s="33" t="s">
        <v>151</v>
      </c>
      <c r="D236" s="33" t="s">
        <v>161</v>
      </c>
      <c r="E236" s="34" t="str">
        <f>IFERROR(VLOOKUP(D236,Masters!$A$5:$E$16,2,FALSE()),"")</f>
        <v>Delhi</v>
      </c>
      <c r="F236" s="34" t="str">
        <f>IFERROR(VLOOKUP(D236,Masters!$A$5:$E$16,3,FALSE()),"")</f>
        <v>Chandigarh</v>
      </c>
      <c r="G236" s="35">
        <v>2400</v>
      </c>
      <c r="H236" s="36">
        <f>IFERROR(INDEX(Masters!$D$5:$D$16,MATCH(D236,Masters!$A$5:$A$16,0)),"")</f>
        <v>3</v>
      </c>
      <c r="I236" s="37">
        <f t="shared" si="15"/>
        <v>7200</v>
      </c>
      <c r="J236" s="33" t="s">
        <v>144</v>
      </c>
      <c r="K236" s="38">
        <f>IF(OR(B236="",D236=""),"",IFERROR(B236+VLOOKUP(D236,Masters!$A$5:$E$16,5,FALSE()),""))</f>
        <v>46258</v>
      </c>
      <c r="L236" s="13">
        <v>46258</v>
      </c>
      <c r="M236" s="33" t="s">
        <v>104</v>
      </c>
      <c r="N236" s="34">
        <f t="shared" si="16"/>
        <v>0</v>
      </c>
      <c r="O236" s="34" t="str">
        <f t="shared" si="17"/>
        <v>Yes</v>
      </c>
      <c r="P236" s="39">
        <f t="shared" si="18"/>
        <v>46235</v>
      </c>
      <c r="Q236" s="34" t="str">
        <f t="shared" si="19"/>
        <v>OK</v>
      </c>
    </row>
    <row r="237" spans="1:17" x14ac:dyDescent="0.3">
      <c r="A237" s="33" t="s">
        <v>386</v>
      </c>
      <c r="B237" s="13">
        <v>46256</v>
      </c>
      <c r="C237" s="33" t="s">
        <v>151</v>
      </c>
      <c r="D237" s="33" t="s">
        <v>128</v>
      </c>
      <c r="E237" s="34" t="str">
        <f>IFERROR(VLOOKUP(D237,Masters!$A$5:$E$16,2,FALSE()),"")</f>
        <v>Ghaziabad</v>
      </c>
      <c r="F237" s="34" t="str">
        <f>IFERROR(VLOOKUP(D237,Masters!$A$5:$E$16,3,FALSE()),"")</f>
        <v>Meerut</v>
      </c>
      <c r="G237" s="35">
        <v>1810</v>
      </c>
      <c r="H237" s="36">
        <f>IFERROR(INDEX(Masters!$D$5:$D$16,MATCH(D237,Masters!$A$5:$A$16,0)),"")</f>
        <v>1.8</v>
      </c>
      <c r="I237" s="37">
        <f t="shared" si="15"/>
        <v>3258</v>
      </c>
      <c r="J237" s="33" t="s">
        <v>144</v>
      </c>
      <c r="K237" s="38">
        <f>IF(OR(B237="",D237=""),"",IFERROR(B237+VLOOKUP(D237,Masters!$A$5:$E$16,5,FALSE()),""))</f>
        <v>46257</v>
      </c>
      <c r="L237" s="13">
        <v>46257</v>
      </c>
      <c r="M237" s="33" t="s">
        <v>104</v>
      </c>
      <c r="N237" s="34">
        <f t="shared" si="16"/>
        <v>0</v>
      </c>
      <c r="O237" s="34" t="str">
        <f t="shared" si="17"/>
        <v>Yes</v>
      </c>
      <c r="P237" s="39">
        <f t="shared" si="18"/>
        <v>46235</v>
      </c>
      <c r="Q237" s="34" t="str">
        <f t="shared" si="19"/>
        <v>OK</v>
      </c>
    </row>
    <row r="238" spans="1:17" x14ac:dyDescent="0.3">
      <c r="A238" s="33" t="s">
        <v>387</v>
      </c>
      <c r="B238" s="13">
        <v>46257</v>
      </c>
      <c r="C238" s="33" t="s">
        <v>156</v>
      </c>
      <c r="D238" s="33" t="s">
        <v>132</v>
      </c>
      <c r="E238" s="34" t="str">
        <f>IFERROR(VLOOKUP(D238,Masters!$A$5:$E$16,2,FALSE()),"")</f>
        <v>Delhi</v>
      </c>
      <c r="F238" s="34" t="str">
        <f>IFERROR(VLOOKUP(D238,Masters!$A$5:$E$16,3,FALSE()),"")</f>
        <v>Ahmedabad</v>
      </c>
      <c r="G238" s="35">
        <v>1980</v>
      </c>
      <c r="H238" s="36">
        <f>IFERROR(INDEX(Masters!$D$5:$D$16,MATCH(D238,Masters!$A$5:$A$16,0)),"")</f>
        <v>7.5</v>
      </c>
      <c r="I238" s="37">
        <f t="shared" si="15"/>
        <v>14850</v>
      </c>
      <c r="J238" s="33" t="s">
        <v>144</v>
      </c>
      <c r="K238" s="38">
        <f>IF(OR(B238="",D238=""),"",IFERROR(B238+VLOOKUP(D238,Masters!$A$5:$E$16,5,FALSE()),""))</f>
        <v>46261</v>
      </c>
      <c r="L238" s="13">
        <v>46261</v>
      </c>
      <c r="M238" s="33" t="s">
        <v>104</v>
      </c>
      <c r="N238" s="34">
        <f t="shared" si="16"/>
        <v>0</v>
      </c>
      <c r="O238" s="34" t="str">
        <f t="shared" si="17"/>
        <v>Yes</v>
      </c>
      <c r="P238" s="39">
        <f t="shared" si="18"/>
        <v>46235</v>
      </c>
      <c r="Q238" s="34" t="str">
        <f t="shared" si="19"/>
        <v>OK</v>
      </c>
    </row>
    <row r="239" spans="1:17" x14ac:dyDescent="0.3">
      <c r="A239" s="33" t="s">
        <v>388</v>
      </c>
      <c r="B239" s="13">
        <v>46257</v>
      </c>
      <c r="C239" s="33" t="s">
        <v>127</v>
      </c>
      <c r="D239" s="33" t="s">
        <v>128</v>
      </c>
      <c r="E239" s="34" t="str">
        <f>IFERROR(VLOOKUP(D239,Masters!$A$5:$E$16,2,FALSE()),"")</f>
        <v>Ghaziabad</v>
      </c>
      <c r="F239" s="34" t="str">
        <f>IFERROR(VLOOKUP(D239,Masters!$A$5:$E$16,3,FALSE()),"")</f>
        <v>Meerut</v>
      </c>
      <c r="G239" s="35">
        <v>2700</v>
      </c>
      <c r="H239" s="36">
        <f>IFERROR(INDEX(Masters!$D$5:$D$16,MATCH(D239,Masters!$A$5:$A$16,0)),"")</f>
        <v>1.8</v>
      </c>
      <c r="I239" s="37">
        <f t="shared" si="15"/>
        <v>4860</v>
      </c>
      <c r="J239" s="33" t="s">
        <v>129</v>
      </c>
      <c r="K239" s="38">
        <f>IF(OR(B239="",D239=""),"",IFERROR(B239+VLOOKUP(D239,Masters!$A$5:$E$16,5,FALSE()),""))</f>
        <v>46258</v>
      </c>
      <c r="L239" s="13">
        <v>46258</v>
      </c>
      <c r="M239" s="33" t="s">
        <v>104</v>
      </c>
      <c r="N239" s="34">
        <f t="shared" si="16"/>
        <v>0</v>
      </c>
      <c r="O239" s="34" t="str">
        <f t="shared" si="17"/>
        <v>Yes</v>
      </c>
      <c r="P239" s="39">
        <f t="shared" si="18"/>
        <v>46235</v>
      </c>
      <c r="Q239" s="34" t="str">
        <f t="shared" si="19"/>
        <v>OK</v>
      </c>
    </row>
    <row r="240" spans="1:17" x14ac:dyDescent="0.3">
      <c r="A240" s="33" t="s">
        <v>389</v>
      </c>
      <c r="B240" s="13">
        <v>46257</v>
      </c>
      <c r="C240" s="33" t="s">
        <v>167</v>
      </c>
      <c r="D240" s="33" t="s">
        <v>128</v>
      </c>
      <c r="E240" s="34" t="str">
        <f>IFERROR(VLOOKUP(D240,Masters!$A$5:$E$16,2,FALSE()),"")</f>
        <v>Ghaziabad</v>
      </c>
      <c r="F240" s="34" t="str">
        <f>IFERROR(VLOOKUP(D240,Masters!$A$5:$E$16,3,FALSE()),"")</f>
        <v>Meerut</v>
      </c>
      <c r="G240" s="35">
        <v>9560</v>
      </c>
      <c r="H240" s="36">
        <f>IFERROR(INDEX(Masters!$D$5:$D$16,MATCH(D240,Masters!$A$5:$A$16,0)),"")</f>
        <v>1.8</v>
      </c>
      <c r="I240" s="37">
        <f t="shared" si="15"/>
        <v>17208</v>
      </c>
      <c r="J240" s="33" t="s">
        <v>157</v>
      </c>
      <c r="K240" s="38">
        <f>IF(OR(B240="",D240=""),"",IFERROR(B240+VLOOKUP(D240,Masters!$A$5:$E$16,5,FALSE()),""))</f>
        <v>46258</v>
      </c>
      <c r="L240" s="13">
        <v>46258</v>
      </c>
      <c r="M240" s="33" t="s">
        <v>104</v>
      </c>
      <c r="N240" s="34">
        <f t="shared" si="16"/>
        <v>0</v>
      </c>
      <c r="O240" s="34" t="str">
        <f t="shared" si="17"/>
        <v>Yes</v>
      </c>
      <c r="P240" s="39">
        <f t="shared" si="18"/>
        <v>46235</v>
      </c>
      <c r="Q240" s="34" t="str">
        <f t="shared" si="19"/>
        <v>OK</v>
      </c>
    </row>
    <row r="241" spans="1:17" x14ac:dyDescent="0.3">
      <c r="A241" s="33" t="s">
        <v>390</v>
      </c>
      <c r="B241" s="13">
        <v>46257</v>
      </c>
      <c r="C241" s="33" t="s">
        <v>127</v>
      </c>
      <c r="D241" s="33" t="s">
        <v>132</v>
      </c>
      <c r="E241" s="34" t="str">
        <f>IFERROR(VLOOKUP(D241,Masters!$A$5:$E$16,2,FALSE()),"")</f>
        <v>Delhi</v>
      </c>
      <c r="F241" s="34" t="str">
        <f>IFERROR(VLOOKUP(D241,Masters!$A$5:$E$16,3,FALSE()),"")</f>
        <v>Ahmedabad</v>
      </c>
      <c r="G241" s="35">
        <v>9230</v>
      </c>
      <c r="H241" s="36">
        <f>IFERROR(INDEX(Masters!$D$5:$D$16,MATCH(D241,Masters!$A$5:$A$16,0)),"")</f>
        <v>7.5</v>
      </c>
      <c r="I241" s="37">
        <f t="shared" si="15"/>
        <v>69225</v>
      </c>
      <c r="J241" s="33" t="s">
        <v>157</v>
      </c>
      <c r="K241" s="38">
        <f>IF(OR(B241="",D241=""),"",IFERROR(B241+VLOOKUP(D241,Masters!$A$5:$E$16,5,FALSE()),""))</f>
        <v>46261</v>
      </c>
      <c r="L241" s="13">
        <v>46260</v>
      </c>
      <c r="M241" s="33" t="s">
        <v>104</v>
      </c>
      <c r="N241" s="34">
        <f t="shared" si="16"/>
        <v>0</v>
      </c>
      <c r="O241" s="34" t="str">
        <f t="shared" si="17"/>
        <v>Yes</v>
      </c>
      <c r="P241" s="39">
        <f t="shared" si="18"/>
        <v>46235</v>
      </c>
      <c r="Q241" s="34" t="str">
        <f t="shared" si="19"/>
        <v>OK</v>
      </c>
    </row>
    <row r="242" spans="1:17" x14ac:dyDescent="0.3">
      <c r="A242" s="33" t="s">
        <v>391</v>
      </c>
      <c r="B242" s="13">
        <v>46258</v>
      </c>
      <c r="C242" s="33" t="s">
        <v>151</v>
      </c>
      <c r="D242" s="33" t="s">
        <v>159</v>
      </c>
      <c r="E242" s="34" t="str">
        <f>IFERROR(VLOOKUP(D242,Masters!$A$5:$E$16,2,FALSE()),"")</f>
        <v>Delhi</v>
      </c>
      <c r="F242" s="34" t="str">
        <f>IFERROR(VLOOKUP(D242,Masters!$A$5:$E$16,3,FALSE()),"")</f>
        <v>Jaipur</v>
      </c>
      <c r="G242" s="35">
        <v>3060</v>
      </c>
      <c r="H242" s="36">
        <f>IFERROR(INDEX(Masters!$D$5:$D$16,MATCH(D242,Masters!$A$5:$A$16,0)),"")</f>
        <v>3.5</v>
      </c>
      <c r="I242" s="37">
        <f t="shared" si="15"/>
        <v>10710</v>
      </c>
      <c r="J242" s="33" t="s">
        <v>129</v>
      </c>
      <c r="K242" s="38">
        <f>IF(OR(B242="",D242=""),"",IFERROR(B242+VLOOKUP(D242,Masters!$A$5:$E$16,5,FALSE()),""))</f>
        <v>46260</v>
      </c>
      <c r="L242" s="13">
        <v>46262</v>
      </c>
      <c r="M242" s="33" t="s">
        <v>104</v>
      </c>
      <c r="N242" s="34">
        <f t="shared" si="16"/>
        <v>2</v>
      </c>
      <c r="O242" s="34" t="str">
        <f t="shared" si="17"/>
        <v>No</v>
      </c>
      <c r="P242" s="39">
        <f t="shared" si="18"/>
        <v>46235</v>
      </c>
      <c r="Q242" s="34" t="str">
        <f t="shared" si="19"/>
        <v>OK</v>
      </c>
    </row>
    <row r="243" spans="1:17" x14ac:dyDescent="0.3">
      <c r="A243" s="33" t="s">
        <v>392</v>
      </c>
      <c r="B243" s="13">
        <v>46258</v>
      </c>
      <c r="C243" s="33" t="s">
        <v>127</v>
      </c>
      <c r="D243" s="33" t="s">
        <v>128</v>
      </c>
      <c r="E243" s="34" t="str">
        <f>IFERROR(VLOOKUP(D243,Masters!$A$5:$E$16,2,FALSE()),"")</f>
        <v>Ghaziabad</v>
      </c>
      <c r="F243" s="34" t="str">
        <f>IFERROR(VLOOKUP(D243,Masters!$A$5:$E$16,3,FALSE()),"")</f>
        <v>Meerut</v>
      </c>
      <c r="G243" s="35">
        <v>5210</v>
      </c>
      <c r="H243" s="36">
        <f>IFERROR(INDEX(Masters!$D$5:$D$16,MATCH(D243,Masters!$A$5:$A$16,0)),"")</f>
        <v>1.8</v>
      </c>
      <c r="I243" s="37">
        <f t="shared" si="15"/>
        <v>9378</v>
      </c>
      <c r="J243" s="33" t="s">
        <v>136</v>
      </c>
      <c r="K243" s="38">
        <f>IF(OR(B243="",D243=""),"",IFERROR(B243+VLOOKUP(D243,Masters!$A$5:$E$16,5,FALSE()),""))</f>
        <v>46259</v>
      </c>
      <c r="L243" s="13">
        <v>46260</v>
      </c>
      <c r="M243" s="33" t="s">
        <v>104</v>
      </c>
      <c r="N243" s="34">
        <f t="shared" si="16"/>
        <v>1</v>
      </c>
      <c r="O243" s="34" t="str">
        <f t="shared" si="17"/>
        <v>No</v>
      </c>
      <c r="P243" s="39">
        <f t="shared" si="18"/>
        <v>46235</v>
      </c>
      <c r="Q243" s="34" t="str">
        <f t="shared" si="19"/>
        <v>OK</v>
      </c>
    </row>
    <row r="244" spans="1:17" x14ac:dyDescent="0.3">
      <c r="A244" s="33" t="s">
        <v>393</v>
      </c>
      <c r="B244" s="13">
        <v>46259</v>
      </c>
      <c r="C244" s="33" t="s">
        <v>131</v>
      </c>
      <c r="D244" s="33" t="s">
        <v>128</v>
      </c>
      <c r="E244" s="34" t="str">
        <f>IFERROR(VLOOKUP(D244,Masters!$A$5:$E$16,2,FALSE()),"")</f>
        <v>Ghaziabad</v>
      </c>
      <c r="F244" s="34" t="str">
        <f>IFERROR(VLOOKUP(D244,Masters!$A$5:$E$16,3,FALSE()),"")</f>
        <v>Meerut</v>
      </c>
      <c r="G244" s="35"/>
      <c r="H244" s="36">
        <f>IFERROR(INDEX(Masters!$D$5:$D$16,MATCH(D244,Masters!$A$5:$A$16,0)),"")</f>
        <v>1.8</v>
      </c>
      <c r="I244" s="37" t="str">
        <f t="shared" si="15"/>
        <v/>
      </c>
      <c r="J244" s="33" t="s">
        <v>136</v>
      </c>
      <c r="K244" s="38">
        <f>IF(OR(B244="",D244=""),"",IFERROR(B244+VLOOKUP(D244,Masters!$A$5:$E$16,5,FALSE()),""))</f>
        <v>46260</v>
      </c>
      <c r="L244" s="13">
        <v>46260</v>
      </c>
      <c r="M244" s="33" t="s">
        <v>104</v>
      </c>
      <c r="N244" s="34">
        <f t="shared" si="16"/>
        <v>0</v>
      </c>
      <c r="O244" s="34" t="str">
        <f t="shared" si="17"/>
        <v>Yes</v>
      </c>
      <c r="P244" s="39">
        <f t="shared" si="18"/>
        <v>46235</v>
      </c>
      <c r="Q244" s="34" t="str">
        <f t="shared" si="19"/>
        <v>Missing Field</v>
      </c>
    </row>
    <row r="245" spans="1:17" x14ac:dyDescent="0.3">
      <c r="A245" s="33" t="s">
        <v>394</v>
      </c>
      <c r="B245" s="13">
        <v>46259</v>
      </c>
      <c r="C245" s="33" t="s">
        <v>151</v>
      </c>
      <c r="D245" s="33" t="s">
        <v>154</v>
      </c>
      <c r="E245" s="34" t="str">
        <f>IFERROR(VLOOKUP(D245,Masters!$A$5:$E$16,2,FALSE()),"")</f>
        <v>Delhi</v>
      </c>
      <c r="F245" s="34" t="str">
        <f>IFERROR(VLOOKUP(D245,Masters!$A$5:$E$16,3,FALSE()),"")</f>
        <v>Bhopal</v>
      </c>
      <c r="G245" s="35">
        <v>5170</v>
      </c>
      <c r="H245" s="36">
        <f>IFERROR(INDEX(Masters!$D$5:$D$16,MATCH(D245,Masters!$A$5:$A$16,0)),"")</f>
        <v>8</v>
      </c>
      <c r="I245" s="37">
        <f t="shared" si="15"/>
        <v>41360</v>
      </c>
      <c r="J245" s="33" t="s">
        <v>136</v>
      </c>
      <c r="K245" s="38">
        <f>IF(OR(B245="",D245=""),"",IFERROR(B245+VLOOKUP(D245,Masters!$A$5:$E$16,5,FALSE()),""))</f>
        <v>46264</v>
      </c>
      <c r="L245" s="13">
        <v>46264</v>
      </c>
      <c r="M245" s="33" t="s">
        <v>104</v>
      </c>
      <c r="N245" s="34">
        <f t="shared" si="16"/>
        <v>0</v>
      </c>
      <c r="O245" s="34" t="str">
        <f t="shared" si="17"/>
        <v>Yes</v>
      </c>
      <c r="P245" s="39">
        <f t="shared" si="18"/>
        <v>46235</v>
      </c>
      <c r="Q245" s="34" t="str">
        <f t="shared" si="19"/>
        <v>OK</v>
      </c>
    </row>
    <row r="246" spans="1:17" x14ac:dyDescent="0.3">
      <c r="A246" s="33" t="s">
        <v>395</v>
      </c>
      <c r="B246" s="13">
        <v>46260</v>
      </c>
      <c r="C246" s="33" t="s">
        <v>146</v>
      </c>
      <c r="D246" s="33" t="s">
        <v>128</v>
      </c>
      <c r="E246" s="34" t="str">
        <f>IFERROR(VLOOKUP(D246,Masters!$A$5:$E$16,2,FALSE()),"")</f>
        <v>Ghaziabad</v>
      </c>
      <c r="F246" s="34" t="str">
        <f>IFERROR(VLOOKUP(D246,Masters!$A$5:$E$16,3,FALSE()),"")</f>
        <v>Meerut</v>
      </c>
      <c r="G246" s="35">
        <v>3510</v>
      </c>
      <c r="H246" s="36">
        <f>IFERROR(INDEX(Masters!$D$5:$D$16,MATCH(D246,Masters!$A$5:$A$16,0)),"")</f>
        <v>1.8</v>
      </c>
      <c r="I246" s="37">
        <f t="shared" si="15"/>
        <v>6318</v>
      </c>
      <c r="J246" s="33" t="s">
        <v>129</v>
      </c>
      <c r="K246" s="38">
        <f>IF(OR(B246="",D246=""),"",IFERROR(B246+VLOOKUP(D246,Masters!$A$5:$E$16,5,FALSE()),""))</f>
        <v>46261</v>
      </c>
      <c r="L246" s="13">
        <v>46261</v>
      </c>
      <c r="M246" s="33" t="s">
        <v>104</v>
      </c>
      <c r="N246" s="34">
        <f t="shared" si="16"/>
        <v>0</v>
      </c>
      <c r="O246" s="34" t="str">
        <f t="shared" si="17"/>
        <v>Yes</v>
      </c>
      <c r="P246" s="39">
        <f t="shared" si="18"/>
        <v>46235</v>
      </c>
      <c r="Q246" s="34" t="str">
        <f t="shared" si="19"/>
        <v>OK</v>
      </c>
    </row>
    <row r="247" spans="1:17" x14ac:dyDescent="0.3">
      <c r="A247" s="33" t="s">
        <v>396</v>
      </c>
      <c r="B247" s="13">
        <v>46260</v>
      </c>
      <c r="C247" s="33" t="s">
        <v>146</v>
      </c>
      <c r="D247" s="33" t="s">
        <v>135</v>
      </c>
      <c r="E247" s="34" t="str">
        <f>IFERROR(VLOOKUP(D247,Masters!$A$5:$E$16,2,FALSE()),"")</f>
        <v>Delhi</v>
      </c>
      <c r="F247" s="34" t="str">
        <f>IFERROR(VLOOKUP(D247,Masters!$A$5:$E$16,3,FALSE()),"")</f>
        <v>Lucknow</v>
      </c>
      <c r="G247" s="35">
        <v>10050</v>
      </c>
      <c r="H247" s="36">
        <f>IFERROR(INDEX(Masters!$D$5:$D$16,MATCH(D247,Masters!$A$5:$A$16,0)),"")</f>
        <v>5.2</v>
      </c>
      <c r="I247" s="37">
        <f t="shared" si="15"/>
        <v>52260</v>
      </c>
      <c r="J247" s="33" t="s">
        <v>157</v>
      </c>
      <c r="K247" s="38">
        <f>IF(OR(B247="",D247=""),"",IFERROR(B247+VLOOKUP(D247,Masters!$A$5:$E$16,5,FALSE()),""))</f>
        <v>46263</v>
      </c>
      <c r="L247" s="13">
        <v>46263</v>
      </c>
      <c r="M247" s="33" t="s">
        <v>104</v>
      </c>
      <c r="N247" s="34">
        <f t="shared" si="16"/>
        <v>0</v>
      </c>
      <c r="O247" s="34" t="str">
        <f t="shared" si="17"/>
        <v>Yes</v>
      </c>
      <c r="P247" s="39">
        <f t="shared" si="18"/>
        <v>46235</v>
      </c>
      <c r="Q247" s="34" t="str">
        <f t="shared" si="19"/>
        <v>OK</v>
      </c>
    </row>
    <row r="248" spans="1:17" x14ac:dyDescent="0.3">
      <c r="A248" s="33" t="s">
        <v>397</v>
      </c>
      <c r="B248" s="13">
        <v>46261</v>
      </c>
      <c r="C248" s="33" t="s">
        <v>146</v>
      </c>
      <c r="D248" s="33" t="s">
        <v>135</v>
      </c>
      <c r="E248" s="34" t="str">
        <f>IFERROR(VLOOKUP(D248,Masters!$A$5:$E$16,2,FALSE()),"")</f>
        <v>Delhi</v>
      </c>
      <c r="F248" s="34" t="str">
        <f>IFERROR(VLOOKUP(D248,Masters!$A$5:$E$16,3,FALSE()),"")</f>
        <v>Lucknow</v>
      </c>
      <c r="G248" s="35">
        <v>6130</v>
      </c>
      <c r="H248" s="36">
        <f>IFERROR(INDEX(Masters!$D$5:$D$16,MATCH(D248,Masters!$A$5:$A$16,0)),"")</f>
        <v>5.2</v>
      </c>
      <c r="I248" s="37">
        <f t="shared" si="15"/>
        <v>31876</v>
      </c>
      <c r="J248" s="33" t="s">
        <v>136</v>
      </c>
      <c r="K248" s="38">
        <f>IF(OR(B248="",D248=""),"",IFERROR(B248+VLOOKUP(D248,Masters!$A$5:$E$16,5,FALSE()),""))</f>
        <v>46264</v>
      </c>
      <c r="L248" s="13">
        <v>46264</v>
      </c>
      <c r="M248" s="33" t="s">
        <v>104</v>
      </c>
      <c r="N248" s="34">
        <f t="shared" si="16"/>
        <v>0</v>
      </c>
      <c r="O248" s="34" t="str">
        <f t="shared" si="17"/>
        <v>Yes</v>
      </c>
      <c r="P248" s="39">
        <f t="shared" si="18"/>
        <v>46235</v>
      </c>
      <c r="Q248" s="34" t="str">
        <f t="shared" si="19"/>
        <v>OK</v>
      </c>
    </row>
    <row r="249" spans="1:17" x14ac:dyDescent="0.3">
      <c r="A249" s="33" t="s">
        <v>398</v>
      </c>
      <c r="B249" s="13">
        <v>46261</v>
      </c>
      <c r="C249" s="33" t="s">
        <v>151</v>
      </c>
      <c r="D249" s="33" t="s">
        <v>135</v>
      </c>
      <c r="E249" s="34" t="str">
        <f>IFERROR(VLOOKUP(D249,Masters!$A$5:$E$16,2,FALSE()),"")</f>
        <v>Delhi</v>
      </c>
      <c r="F249" s="34" t="str">
        <f>IFERROR(VLOOKUP(D249,Masters!$A$5:$E$16,3,FALSE()),"")</f>
        <v>Lucknow</v>
      </c>
      <c r="G249" s="35">
        <v>4390</v>
      </c>
      <c r="H249" s="36">
        <f>IFERROR(INDEX(Masters!$D$5:$D$16,MATCH(D249,Masters!$A$5:$A$16,0)),"")</f>
        <v>5.2</v>
      </c>
      <c r="I249" s="37">
        <f t="shared" si="15"/>
        <v>22828</v>
      </c>
      <c r="J249" s="33" t="s">
        <v>129</v>
      </c>
      <c r="K249" s="38">
        <f>IF(OR(B249="",D249=""),"",IFERROR(B249+VLOOKUP(D249,Masters!$A$5:$E$16,5,FALSE()),""))</f>
        <v>46264</v>
      </c>
      <c r="L249" s="13">
        <v>46263</v>
      </c>
      <c r="M249" s="33" t="s">
        <v>104</v>
      </c>
      <c r="N249" s="34">
        <f t="shared" si="16"/>
        <v>0</v>
      </c>
      <c r="O249" s="34" t="str">
        <f t="shared" si="17"/>
        <v>Yes</v>
      </c>
      <c r="P249" s="39">
        <f t="shared" si="18"/>
        <v>46235</v>
      </c>
      <c r="Q249" s="34" t="str">
        <f t="shared" si="19"/>
        <v>OK</v>
      </c>
    </row>
    <row r="250" spans="1:17" x14ac:dyDescent="0.3">
      <c r="A250" s="33" t="s">
        <v>399</v>
      </c>
      <c r="B250" s="13">
        <v>46262</v>
      </c>
      <c r="C250" s="33" t="s">
        <v>171</v>
      </c>
      <c r="D250" s="33" t="s">
        <v>154</v>
      </c>
      <c r="E250" s="34" t="str">
        <f>IFERROR(VLOOKUP(D250,Masters!$A$5:$E$16,2,FALSE()),"")</f>
        <v>Delhi</v>
      </c>
      <c r="F250" s="34" t="str">
        <f>IFERROR(VLOOKUP(D250,Masters!$A$5:$E$16,3,FALSE()),"")</f>
        <v>Bhopal</v>
      </c>
      <c r="G250" s="35">
        <v>7470</v>
      </c>
      <c r="H250" s="36">
        <f>IFERROR(INDEX(Masters!$D$5:$D$16,MATCH(D250,Masters!$A$5:$A$16,0)),"")</f>
        <v>8</v>
      </c>
      <c r="I250" s="37">
        <f t="shared" si="15"/>
        <v>59760</v>
      </c>
      <c r="J250" s="33" t="s">
        <v>136</v>
      </c>
      <c r="K250" s="38">
        <f>IF(OR(B250="",D250=""),"",IFERROR(B250+VLOOKUP(D250,Masters!$A$5:$E$16,5,FALSE()),""))</f>
        <v>46267</v>
      </c>
      <c r="L250" s="13">
        <v>46267</v>
      </c>
      <c r="M250" s="33" t="s">
        <v>104</v>
      </c>
      <c r="N250" s="34">
        <f t="shared" si="16"/>
        <v>0</v>
      </c>
      <c r="O250" s="34" t="str">
        <f t="shared" si="17"/>
        <v>Yes</v>
      </c>
      <c r="P250" s="39">
        <f t="shared" si="18"/>
        <v>46235</v>
      </c>
      <c r="Q250" s="34" t="str">
        <f t="shared" si="19"/>
        <v>OK</v>
      </c>
    </row>
    <row r="251" spans="1:17" x14ac:dyDescent="0.3">
      <c r="A251" s="33" t="s">
        <v>400</v>
      </c>
      <c r="B251" s="13">
        <v>46262</v>
      </c>
      <c r="C251" s="33" t="s">
        <v>180</v>
      </c>
      <c r="D251" s="33" t="s">
        <v>138</v>
      </c>
      <c r="E251" s="34" t="str">
        <f>IFERROR(VLOOKUP(D251,Masters!$A$5:$E$16,2,FALSE()),"")</f>
        <v>Delhi</v>
      </c>
      <c r="F251" s="34" t="str">
        <f>IFERROR(VLOOKUP(D251,Masters!$A$5:$E$16,3,FALSE()),"")</f>
        <v>Kolkata</v>
      </c>
      <c r="G251" s="35">
        <v>2970</v>
      </c>
      <c r="H251" s="36">
        <f>IFERROR(INDEX(Masters!$D$5:$D$16,MATCH(D251,Masters!$A$5:$A$16,0)),"")</f>
        <v>12</v>
      </c>
      <c r="I251" s="37">
        <f t="shared" si="15"/>
        <v>35640</v>
      </c>
      <c r="J251" s="33" t="s">
        <v>129</v>
      </c>
      <c r="K251" s="38">
        <f>IF(OR(B251="",D251=""),"",IFERROR(B251+VLOOKUP(D251,Masters!$A$5:$E$16,5,FALSE()),""))</f>
        <v>46269</v>
      </c>
      <c r="L251" s="13">
        <v>46260</v>
      </c>
      <c r="M251" s="33" t="s">
        <v>104</v>
      </c>
      <c r="N251" s="34">
        <f t="shared" si="16"/>
        <v>0</v>
      </c>
      <c r="O251" s="34" t="str">
        <f t="shared" si="17"/>
        <v>Yes</v>
      </c>
      <c r="P251" s="39">
        <f t="shared" si="18"/>
        <v>46235</v>
      </c>
      <c r="Q251" s="34" t="str">
        <f t="shared" si="19"/>
        <v>Delivery Before Ship Date</v>
      </c>
    </row>
    <row r="252" spans="1:17" x14ac:dyDescent="0.3">
      <c r="A252" s="33" t="s">
        <v>401</v>
      </c>
      <c r="B252" s="13">
        <v>46263</v>
      </c>
      <c r="C252" s="33" t="s">
        <v>142</v>
      </c>
      <c r="D252" s="33" t="s">
        <v>184</v>
      </c>
      <c r="E252" s="34" t="str">
        <f>IFERROR(VLOOKUP(D252,Masters!$A$5:$E$16,2,FALSE()),"")</f>
        <v>Delhi</v>
      </c>
      <c r="F252" s="34" t="str">
        <f>IFERROR(VLOOKUP(D252,Masters!$A$5:$E$16,3,FALSE()),"")</f>
        <v>Agra</v>
      </c>
      <c r="G252" s="35">
        <v>6740</v>
      </c>
      <c r="H252" s="36">
        <f>IFERROR(INDEX(Masters!$D$5:$D$16,MATCH(D252,Masters!$A$5:$A$16,0)),"")</f>
        <v>2.8</v>
      </c>
      <c r="I252" s="37">
        <f t="shared" si="15"/>
        <v>18872</v>
      </c>
      <c r="J252" s="33" t="s">
        <v>136</v>
      </c>
      <c r="K252" s="38">
        <f>IF(OR(B252="",D252=""),"",IFERROR(B252+VLOOKUP(D252,Masters!$A$5:$E$16,5,FALSE()),""))</f>
        <v>46265</v>
      </c>
      <c r="L252" s="13">
        <v>46265</v>
      </c>
      <c r="M252" s="33" t="s">
        <v>104</v>
      </c>
      <c r="N252" s="34">
        <f t="shared" si="16"/>
        <v>0</v>
      </c>
      <c r="O252" s="34" t="str">
        <f t="shared" si="17"/>
        <v>Yes</v>
      </c>
      <c r="P252" s="39">
        <f t="shared" si="18"/>
        <v>46235</v>
      </c>
      <c r="Q252" s="34" t="str">
        <f t="shared" si="19"/>
        <v>OK</v>
      </c>
    </row>
    <row r="253" spans="1:17" x14ac:dyDescent="0.3">
      <c r="A253" s="33" t="s">
        <v>402</v>
      </c>
      <c r="B253" s="13">
        <v>46263</v>
      </c>
      <c r="C253" s="33" t="s">
        <v>151</v>
      </c>
      <c r="D253" s="33" t="s">
        <v>220</v>
      </c>
      <c r="E253" s="34" t="str">
        <f>IFERROR(VLOOKUP(D253,Masters!$A$5:$E$16,2,FALSE()),"")</f>
        <v>Delhi</v>
      </c>
      <c r="F253" s="34" t="str">
        <f>IFERROR(VLOOKUP(D253,Masters!$A$5:$E$16,3,FALSE()),"")</f>
        <v>Indore</v>
      </c>
      <c r="G253" s="35">
        <v>-250</v>
      </c>
      <c r="H253" s="36">
        <f>IFERROR(INDEX(Masters!$D$5:$D$16,MATCH(D253,Masters!$A$5:$A$16,0)),"")</f>
        <v>9</v>
      </c>
      <c r="I253" s="37">
        <f t="shared" si="15"/>
        <v>-2250</v>
      </c>
      <c r="J253" s="33" t="s">
        <v>136</v>
      </c>
      <c r="K253" s="38">
        <f>IF(OR(B253="",D253=""),"",IFERROR(B253+VLOOKUP(D253,Masters!$A$5:$E$16,5,FALSE()),""))</f>
        <v>46268</v>
      </c>
      <c r="L253" s="13">
        <v>46269</v>
      </c>
      <c r="M253" s="33" t="s">
        <v>104</v>
      </c>
      <c r="N253" s="34">
        <f t="shared" si="16"/>
        <v>1</v>
      </c>
      <c r="O253" s="34" t="str">
        <f t="shared" si="17"/>
        <v>No</v>
      </c>
      <c r="P253" s="39">
        <f t="shared" si="18"/>
        <v>46235</v>
      </c>
      <c r="Q253" s="34" t="str">
        <f t="shared" si="19"/>
        <v>Invalid Weight</v>
      </c>
    </row>
    <row r="254" spans="1:17" x14ac:dyDescent="0.3">
      <c r="A254" s="33" t="s">
        <v>403</v>
      </c>
      <c r="B254" s="13">
        <v>46264</v>
      </c>
      <c r="C254" s="33" t="s">
        <v>131</v>
      </c>
      <c r="D254" s="33" t="s">
        <v>132</v>
      </c>
      <c r="E254" s="34" t="str">
        <f>IFERROR(VLOOKUP(D254,Masters!$A$5:$E$16,2,FALSE()),"")</f>
        <v>Delhi</v>
      </c>
      <c r="F254" s="34" t="str">
        <f>IFERROR(VLOOKUP(D254,Masters!$A$5:$E$16,3,FALSE()),"")</f>
        <v>Ahmedabad</v>
      </c>
      <c r="G254" s="35">
        <v>660</v>
      </c>
      <c r="H254" s="36">
        <f>IFERROR(INDEX(Masters!$D$5:$D$16,MATCH(D254,Masters!$A$5:$A$16,0)),"")</f>
        <v>7.5</v>
      </c>
      <c r="I254" s="37">
        <f t="shared" si="15"/>
        <v>4950</v>
      </c>
      <c r="J254" s="33" t="s">
        <v>133</v>
      </c>
      <c r="K254" s="38">
        <f>IF(OR(B254="",D254=""),"",IFERROR(B254+VLOOKUP(D254,Masters!$A$5:$E$16,5,FALSE()),""))</f>
        <v>46268</v>
      </c>
      <c r="L254" s="13">
        <v>46268</v>
      </c>
      <c r="M254" s="33" t="s">
        <v>104</v>
      </c>
      <c r="N254" s="34">
        <f t="shared" si="16"/>
        <v>0</v>
      </c>
      <c r="O254" s="34" t="str">
        <f t="shared" si="17"/>
        <v>Yes</v>
      </c>
      <c r="P254" s="39">
        <f t="shared" si="18"/>
        <v>46235</v>
      </c>
      <c r="Q254" s="34" t="str">
        <f t="shared" si="19"/>
        <v>OK</v>
      </c>
    </row>
    <row r="255" spans="1:17" x14ac:dyDescent="0.3">
      <c r="A255" s="33" t="s">
        <v>404</v>
      </c>
      <c r="B255" s="13">
        <v>46264</v>
      </c>
      <c r="C255" s="33" t="s">
        <v>131</v>
      </c>
      <c r="D255" s="33" t="s">
        <v>184</v>
      </c>
      <c r="E255" s="34" t="str">
        <f>IFERROR(VLOOKUP(D255,Masters!$A$5:$E$16,2,FALSE()),"")</f>
        <v>Delhi</v>
      </c>
      <c r="F255" s="34" t="str">
        <f>IFERROR(VLOOKUP(D255,Masters!$A$5:$E$16,3,FALSE()),"")</f>
        <v>Agra</v>
      </c>
      <c r="G255" s="35">
        <v>3430</v>
      </c>
      <c r="H255" s="36">
        <f>IFERROR(INDEX(Masters!$D$5:$D$16,MATCH(D255,Masters!$A$5:$A$16,0)),"")</f>
        <v>2.8</v>
      </c>
      <c r="I255" s="37">
        <f t="shared" si="15"/>
        <v>9604</v>
      </c>
      <c r="J255" s="33" t="s">
        <v>129</v>
      </c>
      <c r="K255" s="38">
        <f>IF(OR(B255="",D255=""),"",IFERROR(B255+VLOOKUP(D255,Masters!$A$5:$E$16,5,FALSE()),""))</f>
        <v>46266</v>
      </c>
      <c r="L255" s="13">
        <v>46266</v>
      </c>
      <c r="M255" s="33" t="s">
        <v>104</v>
      </c>
      <c r="N255" s="34">
        <f t="shared" si="16"/>
        <v>0</v>
      </c>
      <c r="O255" s="34" t="str">
        <f t="shared" si="17"/>
        <v>Yes</v>
      </c>
      <c r="P255" s="39">
        <f t="shared" si="18"/>
        <v>46235</v>
      </c>
      <c r="Q255" s="34" t="str">
        <f t="shared" si="19"/>
        <v>OK</v>
      </c>
    </row>
    <row r="256" spans="1:17" x14ac:dyDescent="0.3">
      <c r="A256" s="33" t="s">
        <v>405</v>
      </c>
      <c r="B256" s="13">
        <v>46265</v>
      </c>
      <c r="C256" s="33" t="s">
        <v>131</v>
      </c>
      <c r="D256" s="33" t="s">
        <v>161</v>
      </c>
      <c r="E256" s="34" t="str">
        <f>IFERROR(VLOOKUP(D256,Masters!$A$5:$E$16,2,FALSE()),"")</f>
        <v>Delhi</v>
      </c>
      <c r="F256" s="34" t="str">
        <f>IFERROR(VLOOKUP(D256,Masters!$A$5:$E$16,3,FALSE()),"")</f>
        <v>Chandigarh</v>
      </c>
      <c r="G256" s="35">
        <v>4180</v>
      </c>
      <c r="H256" s="36">
        <f>IFERROR(INDEX(Masters!$D$5:$D$16,MATCH(D256,Masters!$A$5:$A$16,0)),"")</f>
        <v>3</v>
      </c>
      <c r="I256" s="37">
        <f t="shared" si="15"/>
        <v>12540</v>
      </c>
      <c r="J256" s="33" t="s">
        <v>129</v>
      </c>
      <c r="K256" s="38">
        <f>IF(OR(B256="",D256=""),"",IFERROR(B256+VLOOKUP(D256,Masters!$A$5:$E$16,5,FALSE()),""))</f>
        <v>46267</v>
      </c>
      <c r="L256" s="13">
        <v>46266</v>
      </c>
      <c r="M256" s="33" t="s">
        <v>104</v>
      </c>
      <c r="N256" s="34">
        <f t="shared" si="16"/>
        <v>0</v>
      </c>
      <c r="O256" s="34" t="str">
        <f t="shared" si="17"/>
        <v>Yes</v>
      </c>
      <c r="P256" s="39">
        <f t="shared" si="18"/>
        <v>46235</v>
      </c>
      <c r="Q256" s="34" t="str">
        <f t="shared" si="19"/>
        <v>OK</v>
      </c>
    </row>
    <row r="257" spans="1:17" x14ac:dyDescent="0.3">
      <c r="A257" s="33" t="s">
        <v>406</v>
      </c>
      <c r="B257" s="13">
        <v>46265</v>
      </c>
      <c r="C257" s="33" t="s">
        <v>127</v>
      </c>
      <c r="D257" s="33"/>
      <c r="E257" s="34" t="str">
        <f>IFERROR(VLOOKUP(D257,Masters!$A$5:$E$16,2,FALSE()),"")</f>
        <v/>
      </c>
      <c r="F257" s="34" t="str">
        <f>IFERROR(VLOOKUP(D257,Masters!$A$5:$E$16,3,FALSE()),"")</f>
        <v/>
      </c>
      <c r="G257" s="35">
        <v>2620</v>
      </c>
      <c r="H257" s="36" t="str">
        <f>IFERROR(INDEX(Masters!$D$5:$D$16,MATCH(D257,Masters!$A$5:$A$16,0)),"")</f>
        <v/>
      </c>
      <c r="I257" s="37" t="str">
        <f t="shared" si="15"/>
        <v/>
      </c>
      <c r="J257" s="33" t="s">
        <v>129</v>
      </c>
      <c r="K257" s="38" t="str">
        <f>IF(OR(B257="",D257=""),"",IFERROR(B257+VLOOKUP(D257,Masters!$A$5:$E$16,5,FALSE()),""))</f>
        <v/>
      </c>
      <c r="L257" s="13">
        <v>46271</v>
      </c>
      <c r="M257" s="33" t="s">
        <v>104</v>
      </c>
      <c r="N257" s="34" t="str">
        <f t="shared" si="16"/>
        <v/>
      </c>
      <c r="O257" s="34" t="str">
        <f t="shared" si="17"/>
        <v/>
      </c>
      <c r="P257" s="39">
        <f t="shared" si="18"/>
        <v>46235</v>
      </c>
      <c r="Q257" s="34" t="str">
        <f t="shared" si="19"/>
        <v>Missing Field</v>
      </c>
    </row>
    <row r="258" spans="1:17" x14ac:dyDescent="0.3">
      <c r="A258" s="33" t="s">
        <v>407</v>
      </c>
      <c r="B258" s="13">
        <v>46265</v>
      </c>
      <c r="C258" s="33" t="s">
        <v>156</v>
      </c>
      <c r="D258" s="33" t="s">
        <v>159</v>
      </c>
      <c r="E258" s="34" t="str">
        <f>IFERROR(VLOOKUP(D258,Masters!$A$5:$E$16,2,FALSE()),"")</f>
        <v>Delhi</v>
      </c>
      <c r="F258" s="34" t="str">
        <f>IFERROR(VLOOKUP(D258,Masters!$A$5:$E$16,3,FALSE()),"")</f>
        <v>Jaipur</v>
      </c>
      <c r="G258" s="35">
        <v>3610</v>
      </c>
      <c r="H258" s="36">
        <f>IFERROR(INDEX(Masters!$D$5:$D$16,MATCH(D258,Masters!$A$5:$A$16,0)),"")</f>
        <v>3.5</v>
      </c>
      <c r="I258" s="37">
        <f t="shared" ref="I258:I321" si="20">IF(OR(G258="",H258=""),"",G258*H258)</f>
        <v>12635</v>
      </c>
      <c r="J258" s="33" t="s">
        <v>129</v>
      </c>
      <c r="K258" s="38">
        <f>IF(OR(B258="",D258=""),"",IFERROR(B258+VLOOKUP(D258,Masters!$A$5:$E$16,5,FALSE()),""))</f>
        <v>46267</v>
      </c>
      <c r="L258" s="13">
        <v>46267</v>
      </c>
      <c r="M258" s="33" t="s">
        <v>104</v>
      </c>
      <c r="N258" s="34">
        <f t="shared" ref="N258:N301" si="21">IF(OR(L258="",K258=""),"",MAX(0,L258-K258))</f>
        <v>0</v>
      </c>
      <c r="O258" s="34" t="str">
        <f t="shared" ref="O258:O301" si="22">IF(M258="In Transit","Pending",IF(OR(L258="",K258=""),"",IF(L258&lt;=K258,"Yes","No")))</f>
        <v>Yes</v>
      </c>
      <c r="P258" s="39">
        <f t="shared" ref="P258:P301" si="23">IF(B258="","",DATE(YEAR(B258),MONTH(B258),1))</f>
        <v>46235</v>
      </c>
      <c r="Q258" s="34" t="str">
        <f t="shared" ref="Q258:Q301" si="24">IF(OR(A258="",B258="",C258="",D258="",G258=""),"Missing Field",IF(COUNTIF($A$2:$A$1000,A258)&gt;1,"Duplicate ID",IF(G258&lt;=0,"Invalid Weight",IF(AND(L258&lt;&gt;"",L258&lt;B258),"Delivery Before Ship Date",IF(AND(M258="Delivered",L258=""),"Delivered But No Date","OK")))))</f>
        <v>OK</v>
      </c>
    </row>
    <row r="259" spans="1:17" x14ac:dyDescent="0.3">
      <c r="A259" s="33" t="s">
        <v>408</v>
      </c>
      <c r="B259" s="13">
        <v>46266</v>
      </c>
      <c r="C259" s="33" t="s">
        <v>131</v>
      </c>
      <c r="D259" s="33" t="s">
        <v>220</v>
      </c>
      <c r="E259" s="34" t="str">
        <f>IFERROR(VLOOKUP(D259,Masters!$A$5:$E$16,2,FALSE()),"")</f>
        <v>Delhi</v>
      </c>
      <c r="F259" s="34" t="str">
        <f>IFERROR(VLOOKUP(D259,Masters!$A$5:$E$16,3,FALSE()),"")</f>
        <v>Indore</v>
      </c>
      <c r="G259" s="35">
        <v>6430</v>
      </c>
      <c r="H259" s="36">
        <f>IFERROR(INDEX(Masters!$D$5:$D$16,MATCH(D259,Masters!$A$5:$A$16,0)),"")</f>
        <v>9</v>
      </c>
      <c r="I259" s="37">
        <f t="shared" si="20"/>
        <v>57870</v>
      </c>
      <c r="J259" s="33" t="s">
        <v>136</v>
      </c>
      <c r="K259" s="38">
        <f>IF(OR(B259="",D259=""),"",IFERROR(B259+VLOOKUP(D259,Masters!$A$5:$E$16,5,FALSE()),""))</f>
        <v>46271</v>
      </c>
      <c r="L259" s="13">
        <v>46271</v>
      </c>
      <c r="M259" s="33" t="s">
        <v>104</v>
      </c>
      <c r="N259" s="34">
        <f t="shared" si="21"/>
        <v>0</v>
      </c>
      <c r="O259" s="34" t="str">
        <f t="shared" si="22"/>
        <v>Yes</v>
      </c>
      <c r="P259" s="39">
        <f t="shared" si="23"/>
        <v>46266</v>
      </c>
      <c r="Q259" s="34" t="str">
        <f t="shared" si="24"/>
        <v>OK</v>
      </c>
    </row>
    <row r="260" spans="1:17" x14ac:dyDescent="0.3">
      <c r="A260" s="33" t="s">
        <v>409</v>
      </c>
      <c r="B260" s="13">
        <v>46266</v>
      </c>
      <c r="C260" s="33" t="s">
        <v>142</v>
      </c>
      <c r="D260" s="33" t="s">
        <v>152</v>
      </c>
      <c r="E260" s="34" t="str">
        <f>IFERROR(VLOOKUP(D260,Masters!$A$5:$E$16,2,FALSE()),"")</f>
        <v>Delhi</v>
      </c>
      <c r="F260" s="34" t="str">
        <f>IFERROR(VLOOKUP(D260,Masters!$A$5:$E$16,3,FALSE()),"")</f>
        <v>Dehradun</v>
      </c>
      <c r="G260" s="35">
        <v>1120</v>
      </c>
      <c r="H260" s="36">
        <f>IFERROR(INDEX(Masters!$D$5:$D$16,MATCH(D260,Masters!$A$5:$A$16,0)),"")</f>
        <v>4</v>
      </c>
      <c r="I260" s="37">
        <f t="shared" si="20"/>
        <v>4480</v>
      </c>
      <c r="J260" s="33" t="s">
        <v>144</v>
      </c>
      <c r="K260" s="38">
        <f>IF(OR(B260="",D260=""),"",IFERROR(B260+VLOOKUP(D260,Masters!$A$5:$E$16,5,FALSE()),""))</f>
        <v>46268</v>
      </c>
      <c r="L260" s="13">
        <v>46268</v>
      </c>
      <c r="M260" s="33" t="s">
        <v>104</v>
      </c>
      <c r="N260" s="34">
        <f t="shared" si="21"/>
        <v>0</v>
      </c>
      <c r="O260" s="34" t="str">
        <f t="shared" si="22"/>
        <v>Yes</v>
      </c>
      <c r="P260" s="39">
        <f t="shared" si="23"/>
        <v>46266</v>
      </c>
      <c r="Q260" s="34" t="str">
        <f t="shared" si="24"/>
        <v>OK</v>
      </c>
    </row>
    <row r="261" spans="1:17" x14ac:dyDescent="0.3">
      <c r="A261" s="33" t="s">
        <v>410</v>
      </c>
      <c r="B261" s="13">
        <v>46266</v>
      </c>
      <c r="C261" s="33" t="s">
        <v>146</v>
      </c>
      <c r="D261" s="33" t="s">
        <v>132</v>
      </c>
      <c r="E261" s="34" t="str">
        <f>IFERROR(VLOOKUP(D261,Masters!$A$5:$E$16,2,FALSE()),"")</f>
        <v>Delhi</v>
      </c>
      <c r="F261" s="34" t="str">
        <f>IFERROR(VLOOKUP(D261,Masters!$A$5:$E$16,3,FALSE()),"")</f>
        <v>Ahmedabad</v>
      </c>
      <c r="G261" s="35">
        <v>7560</v>
      </c>
      <c r="H261" s="36">
        <f>IFERROR(INDEX(Masters!$D$5:$D$16,MATCH(D261,Masters!$A$5:$A$16,0)),"")</f>
        <v>7.5</v>
      </c>
      <c r="I261" s="37">
        <f t="shared" si="20"/>
        <v>56700</v>
      </c>
      <c r="J261" s="33" t="s">
        <v>136</v>
      </c>
      <c r="K261" s="38">
        <f>IF(OR(B261="",D261=""),"",IFERROR(B261+VLOOKUP(D261,Masters!$A$5:$E$16,5,FALSE()),""))</f>
        <v>46270</v>
      </c>
      <c r="L261" s="13">
        <v>46271</v>
      </c>
      <c r="M261" s="33" t="s">
        <v>104</v>
      </c>
      <c r="N261" s="34">
        <f t="shared" si="21"/>
        <v>1</v>
      </c>
      <c r="O261" s="34" t="str">
        <f t="shared" si="22"/>
        <v>No</v>
      </c>
      <c r="P261" s="39">
        <f t="shared" si="23"/>
        <v>46266</v>
      </c>
      <c r="Q261" s="34" t="str">
        <f t="shared" si="24"/>
        <v>OK</v>
      </c>
    </row>
    <row r="262" spans="1:17" x14ac:dyDescent="0.3">
      <c r="A262" s="33" t="s">
        <v>240</v>
      </c>
      <c r="B262" s="13">
        <v>46266</v>
      </c>
      <c r="C262" s="33" t="s">
        <v>146</v>
      </c>
      <c r="D262" s="33" t="s">
        <v>184</v>
      </c>
      <c r="E262" s="34" t="str">
        <f>IFERROR(VLOOKUP(D262,Masters!$A$5:$E$16,2,FALSE()),"")</f>
        <v>Delhi</v>
      </c>
      <c r="F262" s="34" t="str">
        <f>IFERROR(VLOOKUP(D262,Masters!$A$5:$E$16,3,FALSE()),"")</f>
        <v>Agra</v>
      </c>
      <c r="G262" s="35">
        <v>2820</v>
      </c>
      <c r="H262" s="36">
        <f>IFERROR(INDEX(Masters!$D$5:$D$16,MATCH(D262,Masters!$A$5:$A$16,0)),"")</f>
        <v>2.8</v>
      </c>
      <c r="I262" s="37">
        <f t="shared" si="20"/>
        <v>7895.9999999999991</v>
      </c>
      <c r="J262" s="33" t="s">
        <v>129</v>
      </c>
      <c r="K262" s="38">
        <f>IF(OR(B262="",D262=""),"",IFERROR(B262+VLOOKUP(D262,Masters!$A$5:$E$16,5,FALSE()),""))</f>
        <v>46268</v>
      </c>
      <c r="L262" s="13">
        <v>46267</v>
      </c>
      <c r="M262" s="33" t="s">
        <v>104</v>
      </c>
      <c r="N262" s="34">
        <f t="shared" si="21"/>
        <v>0</v>
      </c>
      <c r="O262" s="34" t="str">
        <f t="shared" si="22"/>
        <v>Yes</v>
      </c>
      <c r="P262" s="39">
        <f t="shared" si="23"/>
        <v>46266</v>
      </c>
      <c r="Q262" s="34" t="str">
        <f t="shared" si="24"/>
        <v>Duplicate ID</v>
      </c>
    </row>
    <row r="263" spans="1:17" x14ac:dyDescent="0.3">
      <c r="A263" s="33" t="s">
        <v>411</v>
      </c>
      <c r="B263" s="13">
        <v>46266</v>
      </c>
      <c r="C263" s="33" t="s">
        <v>156</v>
      </c>
      <c r="D263" s="33" t="s">
        <v>184</v>
      </c>
      <c r="E263" s="34" t="str">
        <f>IFERROR(VLOOKUP(D263,Masters!$A$5:$E$16,2,FALSE()),"")</f>
        <v>Delhi</v>
      </c>
      <c r="F263" s="34" t="str">
        <f>IFERROR(VLOOKUP(D263,Masters!$A$5:$E$16,3,FALSE()),"")</f>
        <v>Agra</v>
      </c>
      <c r="G263" s="35">
        <v>3860</v>
      </c>
      <c r="H263" s="36">
        <f>IFERROR(INDEX(Masters!$D$5:$D$16,MATCH(D263,Masters!$A$5:$A$16,0)),"")</f>
        <v>2.8</v>
      </c>
      <c r="I263" s="37">
        <f t="shared" si="20"/>
        <v>10808</v>
      </c>
      <c r="J263" s="33" t="s">
        <v>129</v>
      </c>
      <c r="K263" s="38">
        <f>IF(OR(B263="",D263=""),"",IFERROR(B263+VLOOKUP(D263,Masters!$A$5:$E$16,5,FALSE()),""))</f>
        <v>46268</v>
      </c>
      <c r="L263" s="13">
        <v>46268</v>
      </c>
      <c r="M263" s="33" t="s">
        <v>104</v>
      </c>
      <c r="N263" s="34">
        <f t="shared" si="21"/>
        <v>0</v>
      </c>
      <c r="O263" s="34" t="str">
        <f t="shared" si="22"/>
        <v>Yes</v>
      </c>
      <c r="P263" s="39">
        <f t="shared" si="23"/>
        <v>46266</v>
      </c>
      <c r="Q263" s="34" t="str">
        <f t="shared" si="24"/>
        <v>OK</v>
      </c>
    </row>
    <row r="264" spans="1:17" x14ac:dyDescent="0.3">
      <c r="A264" s="33" t="s">
        <v>412</v>
      </c>
      <c r="B264" s="13">
        <v>46267</v>
      </c>
      <c r="C264" s="33" t="s">
        <v>151</v>
      </c>
      <c r="D264" s="33" t="s">
        <v>143</v>
      </c>
      <c r="E264" s="34" t="str">
        <f>IFERROR(VLOOKUP(D264,Masters!$A$5:$E$16,2,FALSE()),"")</f>
        <v>Delhi</v>
      </c>
      <c r="F264" s="34" t="str">
        <f>IFERROR(VLOOKUP(D264,Masters!$A$5:$E$16,3,FALSE()),"")</f>
        <v>Kanpur</v>
      </c>
      <c r="G264" s="35">
        <v>8960</v>
      </c>
      <c r="H264" s="36">
        <f>IFERROR(INDEX(Masters!$D$5:$D$16,MATCH(D264,Masters!$A$5:$A$16,0)),"")</f>
        <v>4.5</v>
      </c>
      <c r="I264" s="37">
        <f t="shared" si="20"/>
        <v>40320</v>
      </c>
      <c r="J264" s="33" t="s">
        <v>136</v>
      </c>
      <c r="K264" s="38">
        <f>IF(OR(B264="",D264=""),"",IFERROR(B264+VLOOKUP(D264,Masters!$A$5:$E$16,5,FALSE()),""))</f>
        <v>46270</v>
      </c>
      <c r="L264" s="13"/>
      <c r="M264" s="33" t="s">
        <v>104</v>
      </c>
      <c r="N264" s="34" t="str">
        <f t="shared" si="21"/>
        <v/>
      </c>
      <c r="O264" s="34" t="str">
        <f t="shared" si="22"/>
        <v/>
      </c>
      <c r="P264" s="39">
        <f t="shared" si="23"/>
        <v>46266</v>
      </c>
      <c r="Q264" s="34" t="str">
        <f t="shared" si="24"/>
        <v>Delivered But No Date</v>
      </c>
    </row>
    <row r="265" spans="1:17" x14ac:dyDescent="0.3">
      <c r="A265" s="33" t="s">
        <v>413</v>
      </c>
      <c r="B265" s="13">
        <v>46267</v>
      </c>
      <c r="C265" s="33" t="s">
        <v>151</v>
      </c>
      <c r="D265" s="33" t="s">
        <v>135</v>
      </c>
      <c r="E265" s="34" t="str">
        <f>IFERROR(VLOOKUP(D265,Masters!$A$5:$E$16,2,FALSE()),"")</f>
        <v>Delhi</v>
      </c>
      <c r="F265" s="34" t="str">
        <f>IFERROR(VLOOKUP(D265,Masters!$A$5:$E$16,3,FALSE()),"")</f>
        <v>Lucknow</v>
      </c>
      <c r="G265" s="35">
        <v>2790</v>
      </c>
      <c r="H265" s="36">
        <f>IFERROR(INDEX(Masters!$D$5:$D$16,MATCH(D265,Masters!$A$5:$A$16,0)),"")</f>
        <v>5.2</v>
      </c>
      <c r="I265" s="37">
        <f t="shared" si="20"/>
        <v>14508</v>
      </c>
      <c r="J265" s="33" t="s">
        <v>129</v>
      </c>
      <c r="K265" s="38">
        <f>IF(OR(B265="",D265=""),"",IFERROR(B265+VLOOKUP(D265,Masters!$A$5:$E$16,5,FALSE()),""))</f>
        <v>46270</v>
      </c>
      <c r="L265" s="13">
        <v>46270</v>
      </c>
      <c r="M265" s="33" t="s">
        <v>104</v>
      </c>
      <c r="N265" s="34">
        <f t="shared" si="21"/>
        <v>0</v>
      </c>
      <c r="O265" s="34" t="str">
        <f t="shared" si="22"/>
        <v>Yes</v>
      </c>
      <c r="P265" s="39">
        <f t="shared" si="23"/>
        <v>46266</v>
      </c>
      <c r="Q265" s="34" t="str">
        <f t="shared" si="24"/>
        <v>OK</v>
      </c>
    </row>
    <row r="266" spans="1:17" x14ac:dyDescent="0.3">
      <c r="A266" s="33" t="s">
        <v>414</v>
      </c>
      <c r="B266" s="13">
        <v>46267</v>
      </c>
      <c r="C266" s="33" t="s">
        <v>146</v>
      </c>
      <c r="D266" s="33" t="s">
        <v>154</v>
      </c>
      <c r="E266" s="34" t="str">
        <f>IFERROR(VLOOKUP(D266,Masters!$A$5:$E$16,2,FALSE()),"")</f>
        <v>Delhi</v>
      </c>
      <c r="F266" s="34" t="str">
        <f>IFERROR(VLOOKUP(D266,Masters!$A$5:$E$16,3,FALSE()),"")</f>
        <v>Bhopal</v>
      </c>
      <c r="G266" s="35">
        <v>2590</v>
      </c>
      <c r="H266" s="36">
        <f>IFERROR(INDEX(Masters!$D$5:$D$16,MATCH(D266,Masters!$A$5:$A$16,0)),"")</f>
        <v>8</v>
      </c>
      <c r="I266" s="37">
        <f t="shared" si="20"/>
        <v>20720</v>
      </c>
      <c r="J266" s="33" t="s">
        <v>129</v>
      </c>
      <c r="K266" s="38">
        <f>IF(OR(B266="",D266=""),"",IFERROR(B266+VLOOKUP(D266,Masters!$A$5:$E$16,5,FALSE()),""))</f>
        <v>46272</v>
      </c>
      <c r="L266" s="13">
        <v>46271</v>
      </c>
      <c r="M266" s="33" t="s">
        <v>104</v>
      </c>
      <c r="N266" s="34">
        <f t="shared" si="21"/>
        <v>0</v>
      </c>
      <c r="O266" s="34" t="str">
        <f t="shared" si="22"/>
        <v>Yes</v>
      </c>
      <c r="P266" s="39">
        <f t="shared" si="23"/>
        <v>46266</v>
      </c>
      <c r="Q266" s="34" t="str">
        <f t="shared" si="24"/>
        <v>OK</v>
      </c>
    </row>
    <row r="267" spans="1:17" x14ac:dyDescent="0.3">
      <c r="A267" s="33" t="s">
        <v>415</v>
      </c>
      <c r="B267" s="13">
        <v>46268</v>
      </c>
      <c r="C267" s="33" t="s">
        <v>127</v>
      </c>
      <c r="D267" s="33" t="s">
        <v>152</v>
      </c>
      <c r="E267" s="34" t="str">
        <f>IFERROR(VLOOKUP(D267,Masters!$A$5:$E$16,2,FALSE()),"")</f>
        <v>Delhi</v>
      </c>
      <c r="F267" s="34" t="str">
        <f>IFERROR(VLOOKUP(D267,Masters!$A$5:$E$16,3,FALSE()),"")</f>
        <v>Dehradun</v>
      </c>
      <c r="G267" s="35">
        <v>5510</v>
      </c>
      <c r="H267" s="36">
        <f>IFERROR(INDEX(Masters!$D$5:$D$16,MATCH(D267,Masters!$A$5:$A$16,0)),"")</f>
        <v>4</v>
      </c>
      <c r="I267" s="37">
        <f t="shared" si="20"/>
        <v>22040</v>
      </c>
      <c r="J267" s="33" t="s">
        <v>136</v>
      </c>
      <c r="K267" s="38">
        <f>IF(OR(B267="",D267=""),"",IFERROR(B267+VLOOKUP(D267,Masters!$A$5:$E$16,5,FALSE()),""))</f>
        <v>46270</v>
      </c>
      <c r="L267" s="13">
        <v>46270</v>
      </c>
      <c r="M267" s="33" t="s">
        <v>104</v>
      </c>
      <c r="N267" s="34">
        <f t="shared" si="21"/>
        <v>0</v>
      </c>
      <c r="O267" s="34" t="str">
        <f t="shared" si="22"/>
        <v>Yes</v>
      </c>
      <c r="P267" s="39">
        <f t="shared" si="23"/>
        <v>46266</v>
      </c>
      <c r="Q267" s="34" t="str">
        <f t="shared" si="24"/>
        <v>OK</v>
      </c>
    </row>
    <row r="268" spans="1:17" x14ac:dyDescent="0.3">
      <c r="A268" s="33" t="s">
        <v>416</v>
      </c>
      <c r="B268" s="13">
        <v>46268</v>
      </c>
      <c r="C268" s="33" t="s">
        <v>171</v>
      </c>
      <c r="D268" s="33" t="s">
        <v>184</v>
      </c>
      <c r="E268" s="34" t="str">
        <f>IFERROR(VLOOKUP(D268,Masters!$A$5:$E$16,2,FALSE()),"")</f>
        <v>Delhi</v>
      </c>
      <c r="F268" s="34" t="str">
        <f>IFERROR(VLOOKUP(D268,Masters!$A$5:$E$16,3,FALSE()),"")</f>
        <v>Agra</v>
      </c>
      <c r="G268" s="35">
        <v>7330</v>
      </c>
      <c r="H268" s="36">
        <f>IFERROR(INDEX(Masters!$D$5:$D$16,MATCH(D268,Masters!$A$5:$A$16,0)),"")</f>
        <v>2.8</v>
      </c>
      <c r="I268" s="37">
        <f t="shared" si="20"/>
        <v>20524</v>
      </c>
      <c r="J268" s="33" t="s">
        <v>136</v>
      </c>
      <c r="K268" s="38">
        <f>IF(OR(B268="",D268=""),"",IFERROR(B268+VLOOKUP(D268,Masters!$A$5:$E$16,5,FALSE()),""))</f>
        <v>46270</v>
      </c>
      <c r="L268" s="13">
        <v>46270</v>
      </c>
      <c r="M268" s="33" t="s">
        <v>104</v>
      </c>
      <c r="N268" s="34">
        <f t="shared" si="21"/>
        <v>0</v>
      </c>
      <c r="O268" s="34" t="str">
        <f t="shared" si="22"/>
        <v>Yes</v>
      </c>
      <c r="P268" s="39">
        <f t="shared" si="23"/>
        <v>46266</v>
      </c>
      <c r="Q268" s="34" t="str">
        <f t="shared" si="24"/>
        <v>OK</v>
      </c>
    </row>
    <row r="269" spans="1:17" x14ac:dyDescent="0.3">
      <c r="A269" s="33" t="s">
        <v>417</v>
      </c>
      <c r="B269" s="13">
        <v>46269</v>
      </c>
      <c r="C269" s="33" t="s">
        <v>151</v>
      </c>
      <c r="D269" s="33" t="s">
        <v>184</v>
      </c>
      <c r="E269" s="34" t="str">
        <f>IFERROR(VLOOKUP(D269,Masters!$A$5:$E$16,2,FALSE()),"")</f>
        <v>Delhi</v>
      </c>
      <c r="F269" s="34" t="str">
        <f>IFERROR(VLOOKUP(D269,Masters!$A$5:$E$16,3,FALSE()),"")</f>
        <v>Agra</v>
      </c>
      <c r="G269" s="35">
        <v>6030</v>
      </c>
      <c r="H269" s="36">
        <f>IFERROR(INDEX(Masters!$D$5:$D$16,MATCH(D269,Masters!$A$5:$A$16,0)),"")</f>
        <v>2.8</v>
      </c>
      <c r="I269" s="37">
        <f t="shared" si="20"/>
        <v>16884</v>
      </c>
      <c r="J269" s="33" t="s">
        <v>136</v>
      </c>
      <c r="K269" s="38">
        <f>IF(OR(B269="",D269=""),"",IFERROR(B269+VLOOKUP(D269,Masters!$A$5:$E$16,5,FALSE()),""))</f>
        <v>46271</v>
      </c>
      <c r="L269" s="13">
        <v>46271</v>
      </c>
      <c r="M269" s="33" t="s">
        <v>104</v>
      </c>
      <c r="N269" s="34">
        <f t="shared" si="21"/>
        <v>0</v>
      </c>
      <c r="O269" s="34" t="str">
        <f t="shared" si="22"/>
        <v>Yes</v>
      </c>
      <c r="P269" s="39">
        <f t="shared" si="23"/>
        <v>46266</v>
      </c>
      <c r="Q269" s="34" t="str">
        <f t="shared" si="24"/>
        <v>OK</v>
      </c>
    </row>
    <row r="270" spans="1:17" x14ac:dyDescent="0.3">
      <c r="A270" s="33" t="s">
        <v>418</v>
      </c>
      <c r="B270" s="13">
        <v>46269</v>
      </c>
      <c r="C270" s="33" t="s">
        <v>156</v>
      </c>
      <c r="D270" s="33" t="s">
        <v>154</v>
      </c>
      <c r="E270" s="34" t="str">
        <f>IFERROR(VLOOKUP(D270,Masters!$A$5:$E$16,2,FALSE()),"")</f>
        <v>Delhi</v>
      </c>
      <c r="F270" s="34" t="str">
        <f>IFERROR(VLOOKUP(D270,Masters!$A$5:$E$16,3,FALSE()),"")</f>
        <v>Bhopal</v>
      </c>
      <c r="G270" s="35">
        <v>6230</v>
      </c>
      <c r="H270" s="36">
        <f>IFERROR(INDEX(Masters!$D$5:$D$16,MATCH(D270,Masters!$A$5:$A$16,0)),"")</f>
        <v>8</v>
      </c>
      <c r="I270" s="37">
        <f t="shared" si="20"/>
        <v>49840</v>
      </c>
      <c r="J270" s="33" t="s">
        <v>136</v>
      </c>
      <c r="K270" s="38">
        <f>IF(OR(B270="",D270=""),"",IFERROR(B270+VLOOKUP(D270,Masters!$A$5:$E$16,5,FALSE()),""))</f>
        <v>46274</v>
      </c>
      <c r="L270" s="13">
        <v>46275</v>
      </c>
      <c r="M270" s="33" t="s">
        <v>104</v>
      </c>
      <c r="N270" s="34">
        <f t="shared" si="21"/>
        <v>1</v>
      </c>
      <c r="O270" s="34" t="str">
        <f t="shared" si="22"/>
        <v>No</v>
      </c>
      <c r="P270" s="39">
        <f t="shared" si="23"/>
        <v>46266</v>
      </c>
      <c r="Q270" s="34" t="str">
        <f t="shared" si="24"/>
        <v>OK</v>
      </c>
    </row>
    <row r="271" spans="1:17" x14ac:dyDescent="0.3">
      <c r="A271" s="33" t="s">
        <v>419</v>
      </c>
      <c r="B271" s="13">
        <v>46269</v>
      </c>
      <c r="C271" s="33" t="s">
        <v>167</v>
      </c>
      <c r="D271" s="33" t="s">
        <v>184</v>
      </c>
      <c r="E271" s="34" t="str">
        <f>IFERROR(VLOOKUP(D271,Masters!$A$5:$E$16,2,FALSE()),"")</f>
        <v>Delhi</v>
      </c>
      <c r="F271" s="34" t="str">
        <f>IFERROR(VLOOKUP(D271,Masters!$A$5:$E$16,3,FALSE()),"")</f>
        <v>Agra</v>
      </c>
      <c r="G271" s="35">
        <v>3410</v>
      </c>
      <c r="H271" s="36">
        <f>IFERROR(INDEX(Masters!$D$5:$D$16,MATCH(D271,Masters!$A$5:$A$16,0)),"")</f>
        <v>2.8</v>
      </c>
      <c r="I271" s="37">
        <f t="shared" si="20"/>
        <v>9548</v>
      </c>
      <c r="J271" s="33" t="s">
        <v>129</v>
      </c>
      <c r="K271" s="38">
        <f>IF(OR(B271="",D271=""),"",IFERROR(B271+VLOOKUP(D271,Masters!$A$5:$E$16,5,FALSE()),""))</f>
        <v>46271</v>
      </c>
      <c r="L271" s="13">
        <v>46272</v>
      </c>
      <c r="M271" s="33" t="s">
        <v>104</v>
      </c>
      <c r="N271" s="34">
        <f t="shared" si="21"/>
        <v>1</v>
      </c>
      <c r="O271" s="34" t="str">
        <f t="shared" si="22"/>
        <v>No</v>
      </c>
      <c r="P271" s="39">
        <f t="shared" si="23"/>
        <v>46266</v>
      </c>
      <c r="Q271" s="34" t="str">
        <f t="shared" si="24"/>
        <v>OK</v>
      </c>
    </row>
    <row r="272" spans="1:17" x14ac:dyDescent="0.3">
      <c r="A272" s="33" t="s">
        <v>420</v>
      </c>
      <c r="B272" s="13">
        <v>46269</v>
      </c>
      <c r="C272" s="33" t="s">
        <v>127</v>
      </c>
      <c r="D272" s="33" t="s">
        <v>128</v>
      </c>
      <c r="E272" s="34" t="str">
        <f>IFERROR(VLOOKUP(D272,Masters!$A$5:$E$16,2,FALSE()),"")</f>
        <v>Ghaziabad</v>
      </c>
      <c r="F272" s="34" t="str">
        <f>IFERROR(VLOOKUP(D272,Masters!$A$5:$E$16,3,FALSE()),"")</f>
        <v>Meerut</v>
      </c>
      <c r="G272" s="35">
        <v>4050</v>
      </c>
      <c r="H272" s="36">
        <f>IFERROR(INDEX(Masters!$D$5:$D$16,MATCH(D272,Masters!$A$5:$A$16,0)),"")</f>
        <v>1.8</v>
      </c>
      <c r="I272" s="37">
        <f t="shared" si="20"/>
        <v>7290</v>
      </c>
      <c r="J272" s="33" t="s">
        <v>129</v>
      </c>
      <c r="K272" s="38">
        <f>IF(OR(B272="",D272=""),"",IFERROR(B272+VLOOKUP(D272,Masters!$A$5:$E$16,5,FALSE()),""))</f>
        <v>46270</v>
      </c>
      <c r="L272" s="13">
        <v>46269</v>
      </c>
      <c r="M272" s="33" t="s">
        <v>104</v>
      </c>
      <c r="N272" s="34">
        <f t="shared" si="21"/>
        <v>0</v>
      </c>
      <c r="O272" s="34" t="str">
        <f t="shared" si="22"/>
        <v>Yes</v>
      </c>
      <c r="P272" s="39">
        <f t="shared" si="23"/>
        <v>46266</v>
      </c>
      <c r="Q272" s="34" t="str">
        <f t="shared" si="24"/>
        <v>OK</v>
      </c>
    </row>
    <row r="273" spans="1:17" x14ac:dyDescent="0.3">
      <c r="A273" s="33" t="s">
        <v>421</v>
      </c>
      <c r="B273" s="13">
        <v>46270</v>
      </c>
      <c r="C273" s="33" t="s">
        <v>151</v>
      </c>
      <c r="D273" s="33" t="s">
        <v>220</v>
      </c>
      <c r="E273" s="34" t="str">
        <f>IFERROR(VLOOKUP(D273,Masters!$A$5:$E$16,2,FALSE()),"")</f>
        <v>Delhi</v>
      </c>
      <c r="F273" s="34" t="str">
        <f>IFERROR(VLOOKUP(D273,Masters!$A$5:$E$16,3,FALSE()),"")</f>
        <v>Indore</v>
      </c>
      <c r="G273" s="35">
        <v>2820</v>
      </c>
      <c r="H273" s="36">
        <f>IFERROR(INDEX(Masters!$D$5:$D$16,MATCH(D273,Masters!$A$5:$A$16,0)),"")</f>
        <v>9</v>
      </c>
      <c r="I273" s="37">
        <f t="shared" si="20"/>
        <v>25380</v>
      </c>
      <c r="J273" s="33" t="s">
        <v>129</v>
      </c>
      <c r="K273" s="38">
        <f>IF(OR(B273="",D273=""),"",IFERROR(B273+VLOOKUP(D273,Masters!$A$5:$E$16,5,FALSE()),""))</f>
        <v>46275</v>
      </c>
      <c r="L273" s="13">
        <v>46277</v>
      </c>
      <c r="M273" s="33" t="s">
        <v>104</v>
      </c>
      <c r="N273" s="34">
        <f t="shared" si="21"/>
        <v>2</v>
      </c>
      <c r="O273" s="34" t="str">
        <f t="shared" si="22"/>
        <v>No</v>
      </c>
      <c r="P273" s="39">
        <f t="shared" si="23"/>
        <v>46266</v>
      </c>
      <c r="Q273" s="34" t="str">
        <f t="shared" si="24"/>
        <v>OK</v>
      </c>
    </row>
    <row r="274" spans="1:17" x14ac:dyDescent="0.3">
      <c r="A274" s="33" t="s">
        <v>422</v>
      </c>
      <c r="B274" s="13">
        <v>46271</v>
      </c>
      <c r="C274" s="33" t="s">
        <v>146</v>
      </c>
      <c r="D274" s="33" t="s">
        <v>220</v>
      </c>
      <c r="E274" s="34" t="str">
        <f>IFERROR(VLOOKUP(D274,Masters!$A$5:$E$16,2,FALSE()),"")</f>
        <v>Delhi</v>
      </c>
      <c r="F274" s="34" t="str">
        <f>IFERROR(VLOOKUP(D274,Masters!$A$5:$E$16,3,FALSE()),"")</f>
        <v>Indore</v>
      </c>
      <c r="G274" s="35">
        <v>5830</v>
      </c>
      <c r="H274" s="36">
        <f>IFERROR(INDEX(Masters!$D$5:$D$16,MATCH(D274,Masters!$A$5:$A$16,0)),"")</f>
        <v>9</v>
      </c>
      <c r="I274" s="37">
        <f t="shared" si="20"/>
        <v>52470</v>
      </c>
      <c r="J274" s="33" t="s">
        <v>136</v>
      </c>
      <c r="K274" s="38">
        <f>IF(OR(B274="",D274=""),"",IFERROR(B274+VLOOKUP(D274,Masters!$A$5:$E$16,5,FALSE()),""))</f>
        <v>46276</v>
      </c>
      <c r="L274" s="13">
        <v>46276</v>
      </c>
      <c r="M274" s="33" t="s">
        <v>104</v>
      </c>
      <c r="N274" s="34">
        <f t="shared" si="21"/>
        <v>0</v>
      </c>
      <c r="O274" s="34" t="str">
        <f t="shared" si="22"/>
        <v>Yes</v>
      </c>
      <c r="P274" s="39">
        <f t="shared" si="23"/>
        <v>46266</v>
      </c>
      <c r="Q274" s="34" t="str">
        <f t="shared" si="24"/>
        <v>OK</v>
      </c>
    </row>
    <row r="275" spans="1:17" x14ac:dyDescent="0.3">
      <c r="A275" s="33" t="s">
        <v>423</v>
      </c>
      <c r="B275" s="13">
        <v>46272</v>
      </c>
      <c r="C275" s="33" t="s">
        <v>146</v>
      </c>
      <c r="D275" s="33" t="s">
        <v>159</v>
      </c>
      <c r="E275" s="34" t="str">
        <f>IFERROR(VLOOKUP(D275,Masters!$A$5:$E$16,2,FALSE()),"")</f>
        <v>Delhi</v>
      </c>
      <c r="F275" s="34" t="str">
        <f>IFERROR(VLOOKUP(D275,Masters!$A$5:$E$16,3,FALSE()),"")</f>
        <v>Jaipur</v>
      </c>
      <c r="G275" s="35">
        <v>3180</v>
      </c>
      <c r="H275" s="36">
        <f>IFERROR(INDEX(Masters!$D$5:$D$16,MATCH(D275,Masters!$A$5:$A$16,0)),"")</f>
        <v>3.5</v>
      </c>
      <c r="I275" s="37">
        <f t="shared" si="20"/>
        <v>11130</v>
      </c>
      <c r="J275" s="33" t="s">
        <v>129</v>
      </c>
      <c r="K275" s="38">
        <f>IF(OR(B275="",D275=""),"",IFERROR(B275+VLOOKUP(D275,Masters!$A$5:$E$16,5,FALSE()),""))</f>
        <v>46274</v>
      </c>
      <c r="L275" s="13">
        <v>46276</v>
      </c>
      <c r="M275" s="33" t="s">
        <v>104</v>
      </c>
      <c r="N275" s="34">
        <f t="shared" si="21"/>
        <v>2</v>
      </c>
      <c r="O275" s="34" t="str">
        <f t="shared" si="22"/>
        <v>No</v>
      </c>
      <c r="P275" s="39">
        <f t="shared" si="23"/>
        <v>46266</v>
      </c>
      <c r="Q275" s="34" t="str">
        <f t="shared" si="24"/>
        <v>OK</v>
      </c>
    </row>
    <row r="276" spans="1:17" x14ac:dyDescent="0.3">
      <c r="A276" s="33" t="s">
        <v>424</v>
      </c>
      <c r="B276" s="13">
        <v>46272</v>
      </c>
      <c r="C276" s="33" t="s">
        <v>127</v>
      </c>
      <c r="D276" s="33" t="s">
        <v>140</v>
      </c>
      <c r="E276" s="34" t="str">
        <f>IFERROR(VLOOKUP(D276,Masters!$A$5:$E$16,2,FALSE()),"")</f>
        <v>Delhi</v>
      </c>
      <c r="F276" s="34" t="str">
        <f>IFERROR(VLOOKUP(D276,Masters!$A$5:$E$16,3,FALSE()),"")</f>
        <v>Mumbai</v>
      </c>
      <c r="G276" s="35">
        <v>3100</v>
      </c>
      <c r="H276" s="36">
        <f>IFERROR(INDEX(Masters!$D$5:$D$16,MATCH(D276,Masters!$A$5:$A$16,0)),"")</f>
        <v>9.5</v>
      </c>
      <c r="I276" s="37">
        <f t="shared" si="20"/>
        <v>29450</v>
      </c>
      <c r="J276" s="33" t="s">
        <v>129</v>
      </c>
      <c r="K276" s="38">
        <f>IF(OR(B276="",D276=""),"",IFERROR(B276+VLOOKUP(D276,Masters!$A$5:$E$16,5,FALSE()),""))</f>
        <v>46278</v>
      </c>
      <c r="L276" s="13">
        <v>46277</v>
      </c>
      <c r="M276" s="33" t="s">
        <v>104</v>
      </c>
      <c r="N276" s="34">
        <f t="shared" si="21"/>
        <v>0</v>
      </c>
      <c r="O276" s="34" t="str">
        <f t="shared" si="22"/>
        <v>Yes</v>
      </c>
      <c r="P276" s="39">
        <f t="shared" si="23"/>
        <v>46266</v>
      </c>
      <c r="Q276" s="34" t="str">
        <f t="shared" si="24"/>
        <v>OK</v>
      </c>
    </row>
    <row r="277" spans="1:17" x14ac:dyDescent="0.3">
      <c r="A277" s="33" t="s">
        <v>425</v>
      </c>
      <c r="B277" s="13">
        <v>46273</v>
      </c>
      <c r="C277" s="33" t="s">
        <v>142</v>
      </c>
      <c r="D277" s="33" t="s">
        <v>138</v>
      </c>
      <c r="E277" s="34" t="str">
        <f>IFERROR(VLOOKUP(D277,Masters!$A$5:$E$16,2,FALSE()),"")</f>
        <v>Delhi</v>
      </c>
      <c r="F277" s="34" t="str">
        <f>IFERROR(VLOOKUP(D277,Masters!$A$5:$E$16,3,FALSE()),"")</f>
        <v>Kolkata</v>
      </c>
      <c r="G277" s="35">
        <v>5400</v>
      </c>
      <c r="H277" s="36">
        <f>IFERROR(INDEX(Masters!$D$5:$D$16,MATCH(D277,Masters!$A$5:$A$16,0)),"")</f>
        <v>12</v>
      </c>
      <c r="I277" s="37">
        <f t="shared" si="20"/>
        <v>64800</v>
      </c>
      <c r="J277" s="33" t="s">
        <v>136</v>
      </c>
      <c r="K277" s="38">
        <f>IF(OR(B277="",D277=""),"",IFERROR(B277+VLOOKUP(D277,Masters!$A$5:$E$16,5,FALSE()),""))</f>
        <v>46280</v>
      </c>
      <c r="L277" s="13">
        <v>46280</v>
      </c>
      <c r="M277" s="33" t="s">
        <v>104</v>
      </c>
      <c r="N277" s="34">
        <f t="shared" si="21"/>
        <v>0</v>
      </c>
      <c r="O277" s="34" t="str">
        <f t="shared" si="22"/>
        <v>Yes</v>
      </c>
      <c r="P277" s="39">
        <f t="shared" si="23"/>
        <v>46266</v>
      </c>
      <c r="Q277" s="34" t="str">
        <f t="shared" si="24"/>
        <v>OK</v>
      </c>
    </row>
    <row r="278" spans="1:17" x14ac:dyDescent="0.3">
      <c r="A278" s="33" t="s">
        <v>426</v>
      </c>
      <c r="B278" s="13">
        <v>46273</v>
      </c>
      <c r="C278" s="33" t="s">
        <v>167</v>
      </c>
      <c r="D278" s="33" t="s">
        <v>143</v>
      </c>
      <c r="E278" s="34" t="str">
        <f>IFERROR(VLOOKUP(D278,Masters!$A$5:$E$16,2,FALSE()),"")</f>
        <v>Delhi</v>
      </c>
      <c r="F278" s="34" t="str">
        <f>IFERROR(VLOOKUP(D278,Masters!$A$5:$E$16,3,FALSE()),"")</f>
        <v>Kanpur</v>
      </c>
      <c r="G278" s="35">
        <v>3130</v>
      </c>
      <c r="H278" s="36">
        <f>IFERROR(INDEX(Masters!$D$5:$D$16,MATCH(D278,Masters!$A$5:$A$16,0)),"")</f>
        <v>4.5</v>
      </c>
      <c r="I278" s="37">
        <f t="shared" si="20"/>
        <v>14085</v>
      </c>
      <c r="J278" s="33" t="s">
        <v>129</v>
      </c>
      <c r="K278" s="38">
        <f>IF(OR(B278="",D278=""),"",IFERROR(B278+VLOOKUP(D278,Masters!$A$5:$E$16,5,FALSE()),""))</f>
        <v>46276</v>
      </c>
      <c r="L278" s="13">
        <v>46275</v>
      </c>
      <c r="M278" s="33" t="s">
        <v>104</v>
      </c>
      <c r="N278" s="34">
        <f t="shared" si="21"/>
        <v>0</v>
      </c>
      <c r="O278" s="34" t="str">
        <f t="shared" si="22"/>
        <v>Yes</v>
      </c>
      <c r="P278" s="39">
        <f t="shared" si="23"/>
        <v>46266</v>
      </c>
      <c r="Q278" s="34" t="str">
        <f t="shared" si="24"/>
        <v>OK</v>
      </c>
    </row>
    <row r="279" spans="1:17" x14ac:dyDescent="0.3">
      <c r="A279" s="33" t="s">
        <v>427</v>
      </c>
      <c r="B279" s="13">
        <v>46273</v>
      </c>
      <c r="C279" s="33" t="s">
        <v>171</v>
      </c>
      <c r="D279" s="33" t="s">
        <v>154</v>
      </c>
      <c r="E279" s="34" t="str">
        <f>IFERROR(VLOOKUP(D279,Masters!$A$5:$E$16,2,FALSE()),"")</f>
        <v>Delhi</v>
      </c>
      <c r="F279" s="34" t="str">
        <f>IFERROR(VLOOKUP(D279,Masters!$A$5:$E$16,3,FALSE()),"")</f>
        <v>Bhopal</v>
      </c>
      <c r="G279" s="35">
        <v>7880</v>
      </c>
      <c r="H279" s="36">
        <f>IFERROR(INDEX(Masters!$D$5:$D$16,MATCH(D279,Masters!$A$5:$A$16,0)),"")</f>
        <v>8</v>
      </c>
      <c r="I279" s="37">
        <f t="shared" si="20"/>
        <v>63040</v>
      </c>
      <c r="J279" s="33" t="s">
        <v>136</v>
      </c>
      <c r="K279" s="38">
        <f>IF(OR(B279="",D279=""),"",IFERROR(B279+VLOOKUP(D279,Masters!$A$5:$E$16,5,FALSE()),""))</f>
        <v>46278</v>
      </c>
      <c r="L279" s="13">
        <v>46279</v>
      </c>
      <c r="M279" s="33" t="s">
        <v>104</v>
      </c>
      <c r="N279" s="34">
        <f t="shared" si="21"/>
        <v>1</v>
      </c>
      <c r="O279" s="34" t="str">
        <f t="shared" si="22"/>
        <v>No</v>
      </c>
      <c r="P279" s="39">
        <f t="shared" si="23"/>
        <v>46266</v>
      </c>
      <c r="Q279" s="34" t="str">
        <f t="shared" si="24"/>
        <v>OK</v>
      </c>
    </row>
    <row r="280" spans="1:17" x14ac:dyDescent="0.3">
      <c r="A280" s="33" t="s">
        <v>428</v>
      </c>
      <c r="B280" s="13">
        <v>46273</v>
      </c>
      <c r="C280" s="33" t="s">
        <v>127</v>
      </c>
      <c r="D280" s="33" t="s">
        <v>161</v>
      </c>
      <c r="E280" s="34" t="str">
        <f>IFERROR(VLOOKUP(D280,Masters!$A$5:$E$16,2,FALSE()),"")</f>
        <v>Delhi</v>
      </c>
      <c r="F280" s="34" t="str">
        <f>IFERROR(VLOOKUP(D280,Masters!$A$5:$E$16,3,FALSE()),"")</f>
        <v>Chandigarh</v>
      </c>
      <c r="G280" s="35">
        <v>2980</v>
      </c>
      <c r="H280" s="36">
        <f>IFERROR(INDEX(Masters!$D$5:$D$16,MATCH(D280,Masters!$A$5:$A$16,0)),"")</f>
        <v>3</v>
      </c>
      <c r="I280" s="37">
        <f t="shared" si="20"/>
        <v>8940</v>
      </c>
      <c r="J280" s="33" t="s">
        <v>129</v>
      </c>
      <c r="K280" s="38">
        <f>IF(OR(B280="",D280=""),"",IFERROR(B280+VLOOKUP(D280,Masters!$A$5:$E$16,5,FALSE()),""))</f>
        <v>46275</v>
      </c>
      <c r="L280" s="13">
        <v>46276</v>
      </c>
      <c r="M280" s="33" t="s">
        <v>104</v>
      </c>
      <c r="N280" s="34">
        <f t="shared" si="21"/>
        <v>1</v>
      </c>
      <c r="O280" s="34" t="str">
        <f t="shared" si="22"/>
        <v>No</v>
      </c>
      <c r="P280" s="39">
        <f t="shared" si="23"/>
        <v>46266</v>
      </c>
      <c r="Q280" s="34" t="str">
        <f t="shared" si="24"/>
        <v>OK</v>
      </c>
    </row>
    <row r="281" spans="1:17" x14ac:dyDescent="0.3">
      <c r="A281" s="33" t="s">
        <v>429</v>
      </c>
      <c r="B281" s="13">
        <v>46274</v>
      </c>
      <c r="C281" s="33" t="s">
        <v>167</v>
      </c>
      <c r="D281" s="33" t="s">
        <v>184</v>
      </c>
      <c r="E281" s="34" t="str">
        <f>IFERROR(VLOOKUP(D281,Masters!$A$5:$E$16,2,FALSE()),"")</f>
        <v>Delhi</v>
      </c>
      <c r="F281" s="34" t="str">
        <f>IFERROR(VLOOKUP(D281,Masters!$A$5:$E$16,3,FALSE()),"")</f>
        <v>Agra</v>
      </c>
      <c r="G281" s="35">
        <v>4640</v>
      </c>
      <c r="H281" s="36">
        <f>IFERROR(INDEX(Masters!$D$5:$D$16,MATCH(D281,Masters!$A$5:$A$16,0)),"")</f>
        <v>2.8</v>
      </c>
      <c r="I281" s="37">
        <f t="shared" si="20"/>
        <v>12992</v>
      </c>
      <c r="J281" s="33" t="s">
        <v>129</v>
      </c>
      <c r="K281" s="38">
        <f>IF(OR(B281="",D281=""),"",IFERROR(B281+VLOOKUP(D281,Masters!$A$5:$E$16,5,FALSE()),""))</f>
        <v>46276</v>
      </c>
      <c r="L281" s="13">
        <v>46276</v>
      </c>
      <c r="M281" s="33" t="s">
        <v>104</v>
      </c>
      <c r="N281" s="34">
        <f t="shared" si="21"/>
        <v>0</v>
      </c>
      <c r="O281" s="34" t="str">
        <f t="shared" si="22"/>
        <v>Yes</v>
      </c>
      <c r="P281" s="39">
        <f t="shared" si="23"/>
        <v>46266</v>
      </c>
      <c r="Q281" s="34" t="str">
        <f t="shared" si="24"/>
        <v>OK</v>
      </c>
    </row>
    <row r="282" spans="1:17" x14ac:dyDescent="0.3">
      <c r="A282" s="33" t="s">
        <v>430</v>
      </c>
      <c r="B282" s="13">
        <v>46275</v>
      </c>
      <c r="C282" s="33" t="s">
        <v>131</v>
      </c>
      <c r="D282" s="33" t="s">
        <v>128</v>
      </c>
      <c r="E282" s="34" t="str">
        <f>IFERROR(VLOOKUP(D282,Masters!$A$5:$E$16,2,FALSE()),"")</f>
        <v>Ghaziabad</v>
      </c>
      <c r="F282" s="34" t="str">
        <f>IFERROR(VLOOKUP(D282,Masters!$A$5:$E$16,3,FALSE()),"")</f>
        <v>Meerut</v>
      </c>
      <c r="G282" s="35">
        <v>5390</v>
      </c>
      <c r="H282" s="36">
        <f>IFERROR(INDEX(Masters!$D$5:$D$16,MATCH(D282,Masters!$A$5:$A$16,0)),"")</f>
        <v>1.8</v>
      </c>
      <c r="I282" s="37">
        <f t="shared" si="20"/>
        <v>9702</v>
      </c>
      <c r="J282" s="33" t="s">
        <v>136</v>
      </c>
      <c r="K282" s="38">
        <f>IF(OR(B282="",D282=""),"",IFERROR(B282+VLOOKUP(D282,Masters!$A$5:$E$16,5,FALSE()),""))</f>
        <v>46276</v>
      </c>
      <c r="L282" s="13">
        <v>46278</v>
      </c>
      <c r="M282" s="33" t="s">
        <v>104</v>
      </c>
      <c r="N282" s="34">
        <f t="shared" si="21"/>
        <v>2</v>
      </c>
      <c r="O282" s="34" t="str">
        <f t="shared" si="22"/>
        <v>No</v>
      </c>
      <c r="P282" s="39">
        <f t="shared" si="23"/>
        <v>46266</v>
      </c>
      <c r="Q282" s="34" t="str">
        <f t="shared" si="24"/>
        <v>OK</v>
      </c>
    </row>
    <row r="283" spans="1:17" x14ac:dyDescent="0.3">
      <c r="A283" s="33" t="s">
        <v>431</v>
      </c>
      <c r="B283" s="13">
        <v>46275</v>
      </c>
      <c r="C283" s="33" t="s">
        <v>156</v>
      </c>
      <c r="D283" s="33" t="s">
        <v>140</v>
      </c>
      <c r="E283" s="34" t="str">
        <f>IFERROR(VLOOKUP(D283,Masters!$A$5:$E$16,2,FALSE()),"")</f>
        <v>Delhi</v>
      </c>
      <c r="F283" s="34" t="str">
        <f>IFERROR(VLOOKUP(D283,Masters!$A$5:$E$16,3,FALSE()),"")</f>
        <v>Mumbai</v>
      </c>
      <c r="G283" s="35">
        <v>2880</v>
      </c>
      <c r="H283" s="36">
        <f>IFERROR(INDEX(Masters!$D$5:$D$16,MATCH(D283,Masters!$A$5:$A$16,0)),"")</f>
        <v>9.5</v>
      </c>
      <c r="I283" s="37">
        <f t="shared" si="20"/>
        <v>27360</v>
      </c>
      <c r="J283" s="33" t="s">
        <v>129</v>
      </c>
      <c r="K283" s="38">
        <f>IF(OR(B283="",D283=""),"",IFERROR(B283+VLOOKUP(D283,Masters!$A$5:$E$16,5,FALSE()),""))</f>
        <v>46281</v>
      </c>
      <c r="L283" s="13">
        <v>46281</v>
      </c>
      <c r="M283" s="33" t="s">
        <v>104</v>
      </c>
      <c r="N283" s="34">
        <f t="shared" si="21"/>
        <v>0</v>
      </c>
      <c r="O283" s="34" t="str">
        <f t="shared" si="22"/>
        <v>Yes</v>
      </c>
      <c r="P283" s="39">
        <f t="shared" si="23"/>
        <v>46266</v>
      </c>
      <c r="Q283" s="34" t="str">
        <f t="shared" si="24"/>
        <v>OK</v>
      </c>
    </row>
    <row r="284" spans="1:17" x14ac:dyDescent="0.3">
      <c r="A284" s="33" t="s">
        <v>432</v>
      </c>
      <c r="B284" s="13">
        <v>46276</v>
      </c>
      <c r="C284" s="33" t="s">
        <v>151</v>
      </c>
      <c r="D284" s="33" t="s">
        <v>132</v>
      </c>
      <c r="E284" s="34" t="str">
        <f>IFERROR(VLOOKUP(D284,Masters!$A$5:$E$16,2,FALSE()),"")</f>
        <v>Delhi</v>
      </c>
      <c r="F284" s="34" t="str">
        <f>IFERROR(VLOOKUP(D284,Masters!$A$5:$E$16,3,FALSE()),"")</f>
        <v>Ahmedabad</v>
      </c>
      <c r="G284" s="35">
        <v>5380</v>
      </c>
      <c r="H284" s="36">
        <f>IFERROR(INDEX(Masters!$D$5:$D$16,MATCH(D284,Masters!$A$5:$A$16,0)),"")</f>
        <v>7.5</v>
      </c>
      <c r="I284" s="37">
        <f t="shared" si="20"/>
        <v>40350</v>
      </c>
      <c r="J284" s="33" t="s">
        <v>136</v>
      </c>
      <c r="K284" s="38">
        <f>IF(OR(B284="",D284=""),"",IFERROR(B284+VLOOKUP(D284,Masters!$A$5:$E$16,5,FALSE()),""))</f>
        <v>46280</v>
      </c>
      <c r="L284" s="13">
        <v>46280</v>
      </c>
      <c r="M284" s="33" t="s">
        <v>104</v>
      </c>
      <c r="N284" s="34">
        <f t="shared" si="21"/>
        <v>0</v>
      </c>
      <c r="O284" s="34" t="str">
        <f t="shared" si="22"/>
        <v>Yes</v>
      </c>
      <c r="P284" s="39">
        <f t="shared" si="23"/>
        <v>46266</v>
      </c>
      <c r="Q284" s="34" t="str">
        <f t="shared" si="24"/>
        <v>OK</v>
      </c>
    </row>
    <row r="285" spans="1:17" x14ac:dyDescent="0.3">
      <c r="A285" s="33" t="s">
        <v>433</v>
      </c>
      <c r="B285" s="13">
        <v>46276</v>
      </c>
      <c r="C285" s="33" t="s">
        <v>149</v>
      </c>
      <c r="D285" s="33" t="s">
        <v>143</v>
      </c>
      <c r="E285" s="34" t="str">
        <f>IFERROR(VLOOKUP(D285,Masters!$A$5:$E$16,2,FALSE()),"")</f>
        <v>Delhi</v>
      </c>
      <c r="F285" s="34" t="str">
        <f>IFERROR(VLOOKUP(D285,Masters!$A$5:$E$16,3,FALSE()),"")</f>
        <v>Kanpur</v>
      </c>
      <c r="G285" s="35">
        <v>1190</v>
      </c>
      <c r="H285" s="36">
        <f>IFERROR(INDEX(Masters!$D$5:$D$16,MATCH(D285,Masters!$A$5:$A$16,0)),"")</f>
        <v>4.5</v>
      </c>
      <c r="I285" s="37">
        <f t="shared" si="20"/>
        <v>5355</v>
      </c>
      <c r="J285" s="33" t="s">
        <v>144</v>
      </c>
      <c r="K285" s="38">
        <f>IF(OR(B285="",D285=""),"",IFERROR(B285+VLOOKUP(D285,Masters!$A$5:$E$16,5,FALSE()),""))</f>
        <v>46279</v>
      </c>
      <c r="L285" s="13">
        <v>46279</v>
      </c>
      <c r="M285" s="33" t="s">
        <v>104</v>
      </c>
      <c r="N285" s="34">
        <f t="shared" si="21"/>
        <v>0</v>
      </c>
      <c r="O285" s="34" t="str">
        <f t="shared" si="22"/>
        <v>Yes</v>
      </c>
      <c r="P285" s="39">
        <f t="shared" si="23"/>
        <v>46266</v>
      </c>
      <c r="Q285" s="34" t="str">
        <f t="shared" si="24"/>
        <v>OK</v>
      </c>
    </row>
    <row r="286" spans="1:17" x14ac:dyDescent="0.3">
      <c r="A286" s="33" t="s">
        <v>434</v>
      </c>
      <c r="B286" s="13">
        <v>46276</v>
      </c>
      <c r="C286" s="33" t="s">
        <v>167</v>
      </c>
      <c r="D286" s="33" t="s">
        <v>140</v>
      </c>
      <c r="E286" s="34" t="str">
        <f>IFERROR(VLOOKUP(D286,Masters!$A$5:$E$16,2,FALSE()),"")</f>
        <v>Delhi</v>
      </c>
      <c r="F286" s="34" t="str">
        <f>IFERROR(VLOOKUP(D286,Masters!$A$5:$E$16,3,FALSE()),"")</f>
        <v>Mumbai</v>
      </c>
      <c r="G286" s="35">
        <v>7300</v>
      </c>
      <c r="H286" s="36">
        <f>IFERROR(INDEX(Masters!$D$5:$D$16,MATCH(D286,Masters!$A$5:$A$16,0)),"")</f>
        <v>9.5</v>
      </c>
      <c r="I286" s="37">
        <f t="shared" si="20"/>
        <v>69350</v>
      </c>
      <c r="J286" s="33" t="s">
        <v>136</v>
      </c>
      <c r="K286" s="38">
        <f>IF(OR(B286="",D286=""),"",IFERROR(B286+VLOOKUP(D286,Masters!$A$5:$E$16,5,FALSE()),""))</f>
        <v>46282</v>
      </c>
      <c r="L286" s="13">
        <v>46282</v>
      </c>
      <c r="M286" s="33" t="s">
        <v>104</v>
      </c>
      <c r="N286" s="34">
        <f t="shared" si="21"/>
        <v>0</v>
      </c>
      <c r="O286" s="34" t="str">
        <f t="shared" si="22"/>
        <v>Yes</v>
      </c>
      <c r="P286" s="39">
        <f t="shared" si="23"/>
        <v>46266</v>
      </c>
      <c r="Q286" s="34" t="str">
        <f t="shared" si="24"/>
        <v>OK</v>
      </c>
    </row>
    <row r="287" spans="1:17" x14ac:dyDescent="0.3">
      <c r="A287" s="33" t="s">
        <v>435</v>
      </c>
      <c r="B287" s="13">
        <v>46276</v>
      </c>
      <c r="C287" s="33" t="s">
        <v>151</v>
      </c>
      <c r="D287" s="33" t="s">
        <v>159</v>
      </c>
      <c r="E287" s="34" t="str">
        <f>IFERROR(VLOOKUP(D287,Masters!$A$5:$E$16,2,FALSE()),"")</f>
        <v>Delhi</v>
      </c>
      <c r="F287" s="34" t="str">
        <f>IFERROR(VLOOKUP(D287,Masters!$A$5:$E$16,3,FALSE()),"")</f>
        <v>Jaipur</v>
      </c>
      <c r="G287" s="35">
        <v>9130</v>
      </c>
      <c r="H287" s="36">
        <f>IFERROR(INDEX(Masters!$D$5:$D$16,MATCH(D287,Masters!$A$5:$A$16,0)),"")</f>
        <v>3.5</v>
      </c>
      <c r="I287" s="37">
        <f t="shared" si="20"/>
        <v>31955</v>
      </c>
      <c r="J287" s="33" t="s">
        <v>157</v>
      </c>
      <c r="K287" s="38">
        <f>IF(OR(B287="",D287=""),"",IFERROR(B287+VLOOKUP(D287,Masters!$A$5:$E$16,5,FALSE()),""))</f>
        <v>46278</v>
      </c>
      <c r="L287" s="13">
        <v>46278</v>
      </c>
      <c r="M287" s="33" t="s">
        <v>104</v>
      </c>
      <c r="N287" s="34">
        <f t="shared" si="21"/>
        <v>0</v>
      </c>
      <c r="O287" s="34" t="str">
        <f t="shared" si="22"/>
        <v>Yes</v>
      </c>
      <c r="P287" s="39">
        <f t="shared" si="23"/>
        <v>46266</v>
      </c>
      <c r="Q287" s="34" t="str">
        <f t="shared" si="24"/>
        <v>OK</v>
      </c>
    </row>
    <row r="288" spans="1:17" x14ac:dyDescent="0.3">
      <c r="A288" s="33" t="s">
        <v>436</v>
      </c>
      <c r="B288" s="13">
        <v>46276</v>
      </c>
      <c r="C288" s="33" t="s">
        <v>156</v>
      </c>
      <c r="D288" s="33" t="s">
        <v>161</v>
      </c>
      <c r="E288" s="34" t="str">
        <f>IFERROR(VLOOKUP(D288,Masters!$A$5:$E$16,2,FALSE()),"")</f>
        <v>Delhi</v>
      </c>
      <c r="F288" s="34" t="str">
        <f>IFERROR(VLOOKUP(D288,Masters!$A$5:$E$16,3,FALSE()),"")</f>
        <v>Chandigarh</v>
      </c>
      <c r="G288" s="35">
        <v>7460</v>
      </c>
      <c r="H288" s="36">
        <f>IFERROR(INDEX(Masters!$D$5:$D$16,MATCH(D288,Masters!$A$5:$A$16,0)),"")</f>
        <v>3</v>
      </c>
      <c r="I288" s="37">
        <f t="shared" si="20"/>
        <v>22380</v>
      </c>
      <c r="J288" s="33" t="s">
        <v>136</v>
      </c>
      <c r="K288" s="38">
        <f>IF(OR(B288="",D288=""),"",IFERROR(B288+VLOOKUP(D288,Masters!$A$5:$E$16,5,FALSE()),""))</f>
        <v>46278</v>
      </c>
      <c r="L288" s="13">
        <v>46278</v>
      </c>
      <c r="M288" s="33" t="s">
        <v>104</v>
      </c>
      <c r="N288" s="34">
        <f t="shared" si="21"/>
        <v>0</v>
      </c>
      <c r="O288" s="34" t="str">
        <f t="shared" si="22"/>
        <v>Yes</v>
      </c>
      <c r="P288" s="39">
        <f t="shared" si="23"/>
        <v>46266</v>
      </c>
      <c r="Q288" s="34" t="str">
        <f t="shared" si="24"/>
        <v>OK</v>
      </c>
    </row>
    <row r="289" spans="1:17" x14ac:dyDescent="0.3">
      <c r="A289" s="33" t="s">
        <v>437</v>
      </c>
      <c r="B289" s="13">
        <v>46277</v>
      </c>
      <c r="C289" s="33" t="s">
        <v>167</v>
      </c>
      <c r="D289" s="33" t="s">
        <v>135</v>
      </c>
      <c r="E289" s="34" t="str">
        <f>IFERROR(VLOOKUP(D289,Masters!$A$5:$E$16,2,FALSE()),"")</f>
        <v>Delhi</v>
      </c>
      <c r="F289" s="34" t="str">
        <f>IFERROR(VLOOKUP(D289,Masters!$A$5:$E$16,3,FALSE()),"")</f>
        <v>Lucknow</v>
      </c>
      <c r="G289" s="35">
        <v>5030</v>
      </c>
      <c r="H289" s="36">
        <f>IFERROR(INDEX(Masters!$D$5:$D$16,MATCH(D289,Masters!$A$5:$A$16,0)),"")</f>
        <v>5.2</v>
      </c>
      <c r="I289" s="37">
        <f t="shared" si="20"/>
        <v>26156</v>
      </c>
      <c r="J289" s="33" t="s">
        <v>136</v>
      </c>
      <c r="K289" s="38">
        <f>IF(OR(B289="",D289=""),"",IFERROR(B289+VLOOKUP(D289,Masters!$A$5:$E$16,5,FALSE()),""))</f>
        <v>46280</v>
      </c>
      <c r="L289" s="13">
        <v>46280</v>
      </c>
      <c r="M289" s="33" t="s">
        <v>104</v>
      </c>
      <c r="N289" s="34">
        <f t="shared" si="21"/>
        <v>0</v>
      </c>
      <c r="O289" s="34" t="str">
        <f t="shared" si="22"/>
        <v>Yes</v>
      </c>
      <c r="P289" s="39">
        <f t="shared" si="23"/>
        <v>46266</v>
      </c>
      <c r="Q289" s="34" t="str">
        <f t="shared" si="24"/>
        <v>OK</v>
      </c>
    </row>
    <row r="290" spans="1:17" x14ac:dyDescent="0.3">
      <c r="A290" s="33" t="s">
        <v>438</v>
      </c>
      <c r="B290" s="13">
        <v>46278</v>
      </c>
      <c r="C290" s="33" t="s">
        <v>127</v>
      </c>
      <c r="D290" s="33" t="s">
        <v>128</v>
      </c>
      <c r="E290" s="34" t="str">
        <f>IFERROR(VLOOKUP(D290,Masters!$A$5:$E$16,2,FALSE()),"")</f>
        <v>Ghaziabad</v>
      </c>
      <c r="F290" s="34" t="str">
        <f>IFERROR(VLOOKUP(D290,Masters!$A$5:$E$16,3,FALSE()),"")</f>
        <v>Meerut</v>
      </c>
      <c r="G290" s="35">
        <v>2880</v>
      </c>
      <c r="H290" s="36">
        <f>IFERROR(INDEX(Masters!$D$5:$D$16,MATCH(D290,Masters!$A$5:$A$16,0)),"")</f>
        <v>1.8</v>
      </c>
      <c r="I290" s="37">
        <f t="shared" si="20"/>
        <v>5184</v>
      </c>
      <c r="J290" s="33" t="s">
        <v>129</v>
      </c>
      <c r="K290" s="38">
        <f>IF(OR(B290="",D290=""),"",IFERROR(B290+VLOOKUP(D290,Masters!$A$5:$E$16,5,FALSE()),""))</f>
        <v>46279</v>
      </c>
      <c r="L290" s="13"/>
      <c r="M290" s="33" t="s">
        <v>105</v>
      </c>
      <c r="N290" s="34" t="str">
        <f t="shared" si="21"/>
        <v/>
      </c>
      <c r="O290" s="34" t="str">
        <f t="shared" si="22"/>
        <v>Pending</v>
      </c>
      <c r="P290" s="39">
        <f t="shared" si="23"/>
        <v>46266</v>
      </c>
      <c r="Q290" s="34" t="str">
        <f t="shared" si="24"/>
        <v>OK</v>
      </c>
    </row>
    <row r="291" spans="1:17" x14ac:dyDescent="0.3">
      <c r="A291" s="33" t="s">
        <v>439</v>
      </c>
      <c r="B291" s="13">
        <v>46278</v>
      </c>
      <c r="C291" s="33" t="s">
        <v>127</v>
      </c>
      <c r="D291" s="33" t="s">
        <v>138</v>
      </c>
      <c r="E291" s="34" t="str">
        <f>IFERROR(VLOOKUP(D291,Masters!$A$5:$E$16,2,FALSE()),"")</f>
        <v>Delhi</v>
      </c>
      <c r="F291" s="34" t="str">
        <f>IFERROR(VLOOKUP(D291,Masters!$A$5:$E$16,3,FALSE()),"")</f>
        <v>Kolkata</v>
      </c>
      <c r="G291" s="35">
        <v>7870</v>
      </c>
      <c r="H291" s="36">
        <f>IFERROR(INDEX(Masters!$D$5:$D$16,MATCH(D291,Masters!$A$5:$A$16,0)),"")</f>
        <v>12</v>
      </c>
      <c r="I291" s="37">
        <f t="shared" si="20"/>
        <v>94440</v>
      </c>
      <c r="J291" s="33" t="s">
        <v>136</v>
      </c>
      <c r="K291" s="38">
        <f>IF(OR(B291="",D291=""),"",IFERROR(B291+VLOOKUP(D291,Masters!$A$5:$E$16,5,FALSE()),""))</f>
        <v>46285</v>
      </c>
      <c r="L291" s="13"/>
      <c r="M291" s="33" t="s">
        <v>105</v>
      </c>
      <c r="N291" s="34" t="str">
        <f t="shared" si="21"/>
        <v/>
      </c>
      <c r="O291" s="34" t="str">
        <f t="shared" si="22"/>
        <v>Pending</v>
      </c>
      <c r="P291" s="39">
        <f t="shared" si="23"/>
        <v>46266</v>
      </c>
      <c r="Q291" s="34" t="str">
        <f t="shared" si="24"/>
        <v>OK</v>
      </c>
    </row>
    <row r="292" spans="1:17" x14ac:dyDescent="0.3">
      <c r="A292" s="33" t="s">
        <v>440</v>
      </c>
      <c r="B292" s="13">
        <v>46278</v>
      </c>
      <c r="C292" s="33" t="s">
        <v>142</v>
      </c>
      <c r="D292" s="33" t="s">
        <v>140</v>
      </c>
      <c r="E292" s="34" t="str">
        <f>IFERROR(VLOOKUP(D292,Masters!$A$5:$E$16,2,FALSE()),"")</f>
        <v>Delhi</v>
      </c>
      <c r="F292" s="34" t="str">
        <f>IFERROR(VLOOKUP(D292,Masters!$A$5:$E$16,3,FALSE()),"")</f>
        <v>Mumbai</v>
      </c>
      <c r="G292" s="35">
        <v>6170</v>
      </c>
      <c r="H292" s="36">
        <f>IFERROR(INDEX(Masters!$D$5:$D$16,MATCH(D292,Masters!$A$5:$A$16,0)),"")</f>
        <v>9.5</v>
      </c>
      <c r="I292" s="37">
        <f t="shared" si="20"/>
        <v>58615</v>
      </c>
      <c r="J292" s="33" t="s">
        <v>136</v>
      </c>
      <c r="K292" s="38">
        <f>IF(OR(B292="",D292=""),"",IFERROR(B292+VLOOKUP(D292,Masters!$A$5:$E$16,5,FALSE()),""))</f>
        <v>46284</v>
      </c>
      <c r="L292" s="13"/>
      <c r="M292" s="33" t="s">
        <v>105</v>
      </c>
      <c r="N292" s="34" t="str">
        <f t="shared" si="21"/>
        <v/>
      </c>
      <c r="O292" s="34" t="str">
        <f t="shared" si="22"/>
        <v>Pending</v>
      </c>
      <c r="P292" s="39">
        <f t="shared" si="23"/>
        <v>46266</v>
      </c>
      <c r="Q292" s="34" t="str">
        <f t="shared" si="24"/>
        <v>OK</v>
      </c>
    </row>
    <row r="293" spans="1:17" x14ac:dyDescent="0.3">
      <c r="A293" s="33" t="s">
        <v>441</v>
      </c>
      <c r="B293" s="13">
        <v>46279</v>
      </c>
      <c r="C293" s="33" t="s">
        <v>156</v>
      </c>
      <c r="D293" s="33" t="s">
        <v>152</v>
      </c>
      <c r="E293" s="34" t="str">
        <f>IFERROR(VLOOKUP(D293,Masters!$A$5:$E$16,2,FALSE()),"")</f>
        <v>Delhi</v>
      </c>
      <c r="F293" s="34" t="str">
        <f>IFERROR(VLOOKUP(D293,Masters!$A$5:$E$16,3,FALSE()),"")</f>
        <v>Dehradun</v>
      </c>
      <c r="G293" s="35">
        <v>4700</v>
      </c>
      <c r="H293" s="36">
        <f>IFERROR(INDEX(Masters!$D$5:$D$16,MATCH(D293,Masters!$A$5:$A$16,0)),"")</f>
        <v>4</v>
      </c>
      <c r="I293" s="37">
        <f t="shared" si="20"/>
        <v>18800</v>
      </c>
      <c r="J293" s="33" t="s">
        <v>129</v>
      </c>
      <c r="K293" s="38">
        <f>IF(OR(B293="",D293=""),"",IFERROR(B293+VLOOKUP(D293,Masters!$A$5:$E$16,5,FALSE()),""))</f>
        <v>46281</v>
      </c>
      <c r="L293" s="13">
        <v>46283</v>
      </c>
      <c r="M293" s="33" t="s">
        <v>104</v>
      </c>
      <c r="N293" s="34">
        <f t="shared" si="21"/>
        <v>2</v>
      </c>
      <c r="O293" s="34" t="str">
        <f t="shared" si="22"/>
        <v>No</v>
      </c>
      <c r="P293" s="39">
        <f t="shared" si="23"/>
        <v>46266</v>
      </c>
      <c r="Q293" s="34" t="str">
        <f t="shared" si="24"/>
        <v>OK</v>
      </c>
    </row>
    <row r="294" spans="1:17" x14ac:dyDescent="0.3">
      <c r="A294" s="33" t="s">
        <v>442</v>
      </c>
      <c r="B294" s="13">
        <v>46279</v>
      </c>
      <c r="C294" s="33" t="s">
        <v>131</v>
      </c>
      <c r="D294" s="33" t="s">
        <v>135</v>
      </c>
      <c r="E294" s="34" t="str">
        <f>IFERROR(VLOOKUP(D294,Masters!$A$5:$E$16,2,FALSE()),"")</f>
        <v>Delhi</v>
      </c>
      <c r="F294" s="34" t="str">
        <f>IFERROR(VLOOKUP(D294,Masters!$A$5:$E$16,3,FALSE()),"")</f>
        <v>Lucknow</v>
      </c>
      <c r="G294" s="35">
        <v>2620</v>
      </c>
      <c r="H294" s="36">
        <f>IFERROR(INDEX(Masters!$D$5:$D$16,MATCH(D294,Masters!$A$5:$A$16,0)),"")</f>
        <v>5.2</v>
      </c>
      <c r="I294" s="37">
        <f t="shared" si="20"/>
        <v>13624</v>
      </c>
      <c r="J294" s="33" t="s">
        <v>129</v>
      </c>
      <c r="K294" s="38">
        <f>IF(OR(B294="",D294=""),"",IFERROR(B294+VLOOKUP(D294,Masters!$A$5:$E$16,5,FALSE()),""))</f>
        <v>46282</v>
      </c>
      <c r="L294" s="13"/>
      <c r="M294" s="33" t="s">
        <v>105</v>
      </c>
      <c r="N294" s="34" t="str">
        <f t="shared" si="21"/>
        <v/>
      </c>
      <c r="O294" s="34" t="str">
        <f t="shared" si="22"/>
        <v>Pending</v>
      </c>
      <c r="P294" s="39">
        <f t="shared" si="23"/>
        <v>46266</v>
      </c>
      <c r="Q294" s="34" t="str">
        <f t="shared" si="24"/>
        <v>OK</v>
      </c>
    </row>
    <row r="295" spans="1:17" x14ac:dyDescent="0.3">
      <c r="A295" s="33" t="s">
        <v>443</v>
      </c>
      <c r="B295" s="13">
        <v>46280</v>
      </c>
      <c r="C295" s="33" t="s">
        <v>149</v>
      </c>
      <c r="D295" s="33" t="s">
        <v>138</v>
      </c>
      <c r="E295" s="34" t="str">
        <f>IFERROR(VLOOKUP(D295,Masters!$A$5:$E$16,2,FALSE()),"")</f>
        <v>Delhi</v>
      </c>
      <c r="F295" s="34" t="str">
        <f>IFERROR(VLOOKUP(D295,Masters!$A$5:$E$16,3,FALSE()),"")</f>
        <v>Kolkata</v>
      </c>
      <c r="G295" s="35">
        <v>7350</v>
      </c>
      <c r="H295" s="36">
        <f>IFERROR(INDEX(Masters!$D$5:$D$16,MATCH(D295,Masters!$A$5:$A$16,0)),"")</f>
        <v>12</v>
      </c>
      <c r="I295" s="37">
        <f t="shared" si="20"/>
        <v>88200</v>
      </c>
      <c r="J295" s="33" t="s">
        <v>136</v>
      </c>
      <c r="K295" s="38">
        <f>IF(OR(B295="",D295=""),"",IFERROR(B295+VLOOKUP(D295,Masters!$A$5:$E$16,5,FALSE()),""))</f>
        <v>46287</v>
      </c>
      <c r="L295" s="13"/>
      <c r="M295" s="33" t="s">
        <v>105</v>
      </c>
      <c r="N295" s="34" t="str">
        <f t="shared" si="21"/>
        <v/>
      </c>
      <c r="O295" s="34" t="str">
        <f t="shared" si="22"/>
        <v>Pending</v>
      </c>
      <c r="P295" s="39">
        <f t="shared" si="23"/>
        <v>46266</v>
      </c>
      <c r="Q295" s="34" t="str">
        <f t="shared" si="24"/>
        <v>OK</v>
      </c>
    </row>
    <row r="296" spans="1:17" x14ac:dyDescent="0.3">
      <c r="A296" s="33" t="s">
        <v>444</v>
      </c>
      <c r="B296" s="13">
        <v>46280</v>
      </c>
      <c r="C296" s="33" t="s">
        <v>146</v>
      </c>
      <c r="D296" s="33" t="s">
        <v>152</v>
      </c>
      <c r="E296" s="34" t="str">
        <f>IFERROR(VLOOKUP(D296,Masters!$A$5:$E$16,2,FALSE()),"")</f>
        <v>Delhi</v>
      </c>
      <c r="F296" s="34" t="str">
        <f>IFERROR(VLOOKUP(D296,Masters!$A$5:$E$16,3,FALSE()),"")</f>
        <v>Dehradun</v>
      </c>
      <c r="G296" s="35">
        <v>1830</v>
      </c>
      <c r="H296" s="36">
        <f>IFERROR(INDEX(Masters!$D$5:$D$16,MATCH(D296,Masters!$A$5:$A$16,0)),"")</f>
        <v>4</v>
      </c>
      <c r="I296" s="37">
        <f t="shared" si="20"/>
        <v>7320</v>
      </c>
      <c r="J296" s="33" t="s">
        <v>144</v>
      </c>
      <c r="K296" s="38">
        <f>IF(OR(B296="",D296=""),"",IFERROR(B296+VLOOKUP(D296,Masters!$A$5:$E$16,5,FALSE()),""))</f>
        <v>46282</v>
      </c>
      <c r="L296" s="13">
        <v>46282</v>
      </c>
      <c r="M296" s="33" t="s">
        <v>104</v>
      </c>
      <c r="N296" s="34">
        <f t="shared" si="21"/>
        <v>0</v>
      </c>
      <c r="O296" s="34" t="str">
        <f t="shared" si="22"/>
        <v>Yes</v>
      </c>
      <c r="P296" s="39">
        <f t="shared" si="23"/>
        <v>46266</v>
      </c>
      <c r="Q296" s="34" t="str">
        <f t="shared" si="24"/>
        <v>OK</v>
      </c>
    </row>
    <row r="297" spans="1:17" x14ac:dyDescent="0.3">
      <c r="A297" s="33" t="s">
        <v>445</v>
      </c>
      <c r="B297" s="13">
        <v>46280</v>
      </c>
      <c r="C297" s="33" t="s">
        <v>171</v>
      </c>
      <c r="D297" s="33" t="s">
        <v>220</v>
      </c>
      <c r="E297" s="34" t="str">
        <f>IFERROR(VLOOKUP(D297,Masters!$A$5:$E$16,2,FALSE()),"")</f>
        <v>Delhi</v>
      </c>
      <c r="F297" s="34" t="str">
        <f>IFERROR(VLOOKUP(D297,Masters!$A$5:$E$16,3,FALSE()),"")</f>
        <v>Indore</v>
      </c>
      <c r="G297" s="35">
        <v>4300</v>
      </c>
      <c r="H297" s="36">
        <f>IFERROR(INDEX(Masters!$D$5:$D$16,MATCH(D297,Masters!$A$5:$A$16,0)),"")</f>
        <v>9</v>
      </c>
      <c r="I297" s="37">
        <f t="shared" si="20"/>
        <v>38700</v>
      </c>
      <c r="J297" s="33" t="s">
        <v>129</v>
      </c>
      <c r="K297" s="38">
        <f>IF(OR(B297="",D297=""),"",IFERROR(B297+VLOOKUP(D297,Masters!$A$5:$E$16,5,FALSE()),""))</f>
        <v>46285</v>
      </c>
      <c r="L297" s="13"/>
      <c r="M297" s="33" t="s">
        <v>105</v>
      </c>
      <c r="N297" s="34" t="str">
        <f t="shared" si="21"/>
        <v/>
      </c>
      <c r="O297" s="34" t="str">
        <f t="shared" si="22"/>
        <v>Pending</v>
      </c>
      <c r="P297" s="39">
        <f t="shared" si="23"/>
        <v>46266</v>
      </c>
      <c r="Q297" s="34" t="str">
        <f t="shared" si="24"/>
        <v>OK</v>
      </c>
    </row>
    <row r="298" spans="1:17" x14ac:dyDescent="0.3">
      <c r="A298" s="33" t="s">
        <v>446</v>
      </c>
      <c r="B298" s="13">
        <v>46280</v>
      </c>
      <c r="C298" s="33" t="s">
        <v>127</v>
      </c>
      <c r="D298" s="33" t="s">
        <v>159</v>
      </c>
      <c r="E298" s="34" t="str">
        <f>IFERROR(VLOOKUP(D298,Masters!$A$5:$E$16,2,FALSE()),"")</f>
        <v>Delhi</v>
      </c>
      <c r="F298" s="34" t="str">
        <f>IFERROR(VLOOKUP(D298,Masters!$A$5:$E$16,3,FALSE()),"")</f>
        <v>Jaipur</v>
      </c>
      <c r="G298" s="35">
        <v>2030</v>
      </c>
      <c r="H298" s="36">
        <f>IFERROR(INDEX(Masters!$D$5:$D$16,MATCH(D298,Masters!$A$5:$A$16,0)),"")</f>
        <v>3.5</v>
      </c>
      <c r="I298" s="37">
        <f t="shared" si="20"/>
        <v>7105</v>
      </c>
      <c r="J298" s="33" t="s">
        <v>144</v>
      </c>
      <c r="K298" s="38">
        <f>IF(OR(B298="",D298=""),"",IFERROR(B298+VLOOKUP(D298,Masters!$A$5:$E$16,5,FALSE()),""))</f>
        <v>46282</v>
      </c>
      <c r="L298" s="13">
        <v>46282</v>
      </c>
      <c r="M298" s="33" t="s">
        <v>104</v>
      </c>
      <c r="N298" s="34">
        <f t="shared" si="21"/>
        <v>0</v>
      </c>
      <c r="O298" s="34" t="str">
        <f t="shared" si="22"/>
        <v>Yes</v>
      </c>
      <c r="P298" s="39">
        <f t="shared" si="23"/>
        <v>46266</v>
      </c>
      <c r="Q298" s="34" t="str">
        <f t="shared" si="24"/>
        <v>OK</v>
      </c>
    </row>
    <row r="299" spans="1:17" x14ac:dyDescent="0.3">
      <c r="A299" s="33" t="s">
        <v>447</v>
      </c>
      <c r="B299" s="13">
        <v>46280</v>
      </c>
      <c r="C299" s="33" t="s">
        <v>146</v>
      </c>
      <c r="D299" s="33" t="s">
        <v>143</v>
      </c>
      <c r="E299" s="34" t="str">
        <f>IFERROR(VLOOKUP(D299,Masters!$A$5:$E$16,2,FALSE()),"")</f>
        <v>Delhi</v>
      </c>
      <c r="F299" s="34" t="str">
        <f>IFERROR(VLOOKUP(D299,Masters!$A$5:$E$16,3,FALSE()),"")</f>
        <v>Kanpur</v>
      </c>
      <c r="G299" s="35">
        <v>6060</v>
      </c>
      <c r="H299" s="36">
        <f>IFERROR(INDEX(Masters!$D$5:$D$16,MATCH(D299,Masters!$A$5:$A$16,0)),"")</f>
        <v>4.5</v>
      </c>
      <c r="I299" s="37">
        <f t="shared" si="20"/>
        <v>27270</v>
      </c>
      <c r="J299" s="33" t="s">
        <v>136</v>
      </c>
      <c r="K299" s="38">
        <f>IF(OR(B299="",D299=""),"",IFERROR(B299+VLOOKUP(D299,Masters!$A$5:$E$16,5,FALSE()),""))</f>
        <v>46283</v>
      </c>
      <c r="L299" s="13">
        <v>46283</v>
      </c>
      <c r="M299" s="33" t="s">
        <v>104</v>
      </c>
      <c r="N299" s="34">
        <f t="shared" si="21"/>
        <v>0</v>
      </c>
      <c r="O299" s="34" t="str">
        <f t="shared" si="22"/>
        <v>Yes</v>
      </c>
      <c r="P299" s="39">
        <f t="shared" si="23"/>
        <v>46266</v>
      </c>
      <c r="Q299" s="34" t="str">
        <f t="shared" si="24"/>
        <v>OK</v>
      </c>
    </row>
    <row r="300" spans="1:17" x14ac:dyDescent="0.3">
      <c r="A300" s="33" t="s">
        <v>448</v>
      </c>
      <c r="B300" s="13">
        <v>46281</v>
      </c>
      <c r="C300" s="33" t="s">
        <v>151</v>
      </c>
      <c r="D300" s="33" t="s">
        <v>143</v>
      </c>
      <c r="E300" s="34" t="str">
        <f>IFERROR(VLOOKUP(D300,Masters!$A$5:$E$16,2,FALSE()),"")</f>
        <v>Delhi</v>
      </c>
      <c r="F300" s="34" t="str">
        <f>IFERROR(VLOOKUP(D300,Masters!$A$5:$E$16,3,FALSE()),"")</f>
        <v>Kanpur</v>
      </c>
      <c r="G300" s="35">
        <v>10380</v>
      </c>
      <c r="H300" s="36">
        <f>IFERROR(INDEX(Masters!$D$5:$D$16,MATCH(D300,Masters!$A$5:$A$16,0)),"")</f>
        <v>4.5</v>
      </c>
      <c r="I300" s="37">
        <f t="shared" si="20"/>
        <v>46710</v>
      </c>
      <c r="J300" s="33" t="s">
        <v>157</v>
      </c>
      <c r="K300" s="38">
        <f>IF(OR(B300="",D300=""),"",IFERROR(B300+VLOOKUP(D300,Masters!$A$5:$E$16,5,FALSE()),""))</f>
        <v>46284</v>
      </c>
      <c r="L300" s="13">
        <v>46283</v>
      </c>
      <c r="M300" s="33" t="s">
        <v>104</v>
      </c>
      <c r="N300" s="34">
        <f t="shared" si="21"/>
        <v>0</v>
      </c>
      <c r="O300" s="34" t="str">
        <f t="shared" si="22"/>
        <v>Yes</v>
      </c>
      <c r="P300" s="39">
        <f t="shared" si="23"/>
        <v>46266</v>
      </c>
      <c r="Q300" s="34" t="str">
        <f t="shared" si="24"/>
        <v>OK</v>
      </c>
    </row>
    <row r="301" spans="1:17" x14ac:dyDescent="0.3">
      <c r="A301" s="33" t="s">
        <v>449</v>
      </c>
      <c r="B301" s="13">
        <v>46282</v>
      </c>
      <c r="C301" s="33" t="s">
        <v>131</v>
      </c>
      <c r="D301" s="33" t="s">
        <v>135</v>
      </c>
      <c r="E301" s="34" t="str">
        <f>IFERROR(VLOOKUP(D301,Masters!$A$5:$E$16,2,FALSE()),"")</f>
        <v>Delhi</v>
      </c>
      <c r="F301" s="34" t="str">
        <f>IFERROR(VLOOKUP(D301,Masters!$A$5:$E$16,3,FALSE()),"")</f>
        <v>Lucknow</v>
      </c>
      <c r="G301" s="35">
        <v>7220</v>
      </c>
      <c r="H301" s="36">
        <f>IFERROR(INDEX(Masters!$D$5:$D$16,MATCH(D301,Masters!$A$5:$A$16,0)),"")</f>
        <v>5.2</v>
      </c>
      <c r="I301" s="37">
        <f t="shared" si="20"/>
        <v>37544</v>
      </c>
      <c r="J301" s="33" t="s">
        <v>136</v>
      </c>
      <c r="K301" s="38">
        <f>IF(OR(B301="",D301=""),"",IFERROR(B301+VLOOKUP(D301,Masters!$A$5:$E$16,5,FALSE()),""))</f>
        <v>46285</v>
      </c>
      <c r="L301" s="13"/>
      <c r="M301" s="33" t="s">
        <v>105</v>
      </c>
      <c r="N301" s="34" t="str">
        <f t="shared" si="21"/>
        <v/>
      </c>
      <c r="O301" s="34" t="str">
        <f t="shared" si="22"/>
        <v>Pending</v>
      </c>
      <c r="P301" s="39">
        <f t="shared" si="23"/>
        <v>46266</v>
      </c>
      <c r="Q301" s="34" t="str">
        <f t="shared" si="24"/>
        <v>OK</v>
      </c>
    </row>
  </sheetData>
  <autoFilter ref="A1:Q301"/>
  <conditionalFormatting sqref="A2:Q1000">
    <cfRule type="expression" dxfId="9" priority="2">
      <formula>AND($Q2&lt;&gt;"",$Q2&lt;&gt;"OK")</formula>
    </cfRule>
  </conditionalFormatting>
  <conditionalFormatting sqref="Q2:Q1000">
    <cfRule type="expression" dxfId="8" priority="3">
      <formula>$Q2="OK"</formula>
    </cfRule>
  </conditionalFormatting>
  <conditionalFormatting sqref="O2:O1000">
    <cfRule type="expression" dxfId="7" priority="4">
      <formula>$O2="No"</formula>
    </cfRule>
  </conditionalFormatting>
  <conditionalFormatting sqref="M2:M1000">
    <cfRule type="expression" dxfId="6" priority="5">
      <formula>$M2="In Transit"</formula>
    </cfRule>
  </conditionalFormatting>
  <dataValidations count="2">
    <dataValidation type="decimal" operator="greaterThan" allowBlank="1" showErrorMessage="1" errorTitle="Invalid weight" error="Weight must be greater than 0 kg." sqref="G2:G1000">
      <formula1>0</formula1>
      <formula2>0</formula2>
    </dataValidation>
    <dataValidation type="date" operator="greaterThan" allowBlank="1" showErrorMessage="1" errorTitle="Invalid date" error="Enter a valid date (dd-mmm-yyyy)." sqref="B2:B1000 L2:L1000">
      <formula1>43831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client" error="Pick a client from the dropdown (list is on Masters).">
          <x14:formula1>
            <xm:f>Masters!$G$5:$G$14</xm:f>
          </x14:formula1>
          <x14:formula2>
            <xm:f>0</xm:f>
          </x14:formula2>
          <xm:sqref>C2:C1000</xm:sqref>
        </x14:dataValidation>
        <x14:dataValidation type="list" allowBlank="1" showErrorMessage="1" errorTitle="Invalid route" error="Pick a route code from the dropdown (list is on Masters).">
          <x14:formula1>
            <xm:f>Masters!$A$5:$A$16</xm:f>
          </x14:formula1>
          <x14:formula2>
            <xm:f>0</xm:f>
          </x14:formula2>
          <xm:sqref>D2:D1000</xm:sqref>
        </x14:dataValidation>
        <x14:dataValidation type="list" allowBlank="1" showErrorMessage="1" errorTitle="Invalid vehicle" error="Pick a vehicle type from the dropdown.">
          <x14:formula1>
            <xm:f>Masters!$I$5:$I$9</xm:f>
          </x14:formula1>
          <x14:formula2>
            <xm:f>0</xm:f>
          </x14:formula2>
          <xm:sqref>J2:J1000</xm:sqref>
        </x14:dataValidation>
        <x14:dataValidation type="list" allowBlank="1" showErrorMessage="1" errorTitle="Invalid status" error="Choose Delivered or In Transit.">
          <x14:formula1>
            <xm:f>Masters!$K$5:$K$6</xm:f>
          </x14:formula1>
          <x14:formula2>
            <xm:f>0</xm:f>
          </x14:formula2>
          <xm:sqref>M2:M1000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  <pageSetUpPr fitToPage="1"/>
  </sheetPr>
  <dimension ref="A1:L12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2" width="13" customWidth="1"/>
    <col min="3" max="3" width="26" customWidth="1"/>
    <col min="4" max="4" width="22" customWidth="1"/>
    <col min="5" max="5" width="14" customWidth="1"/>
    <col min="6" max="6" width="13" customWidth="1"/>
    <col min="7" max="7" width="14" customWidth="1"/>
    <col min="8" max="8" width="22" customWidth="1"/>
    <col min="9" max="9" width="14" customWidth="1"/>
    <col min="10" max="10" width="12" customWidth="1"/>
    <col min="11" max="11" width="22" customWidth="1"/>
    <col min="12" max="12" width="13" customWidth="1"/>
  </cols>
  <sheetData>
    <row r="1" spans="1:12" ht="31.5" customHeight="1" x14ac:dyDescent="0.3">
      <c r="A1" s="7" t="s">
        <v>450</v>
      </c>
      <c r="B1" s="7" t="s">
        <v>451</v>
      </c>
      <c r="C1" s="7" t="s">
        <v>452</v>
      </c>
      <c r="D1" s="7" t="s">
        <v>453</v>
      </c>
      <c r="E1" s="7" t="s">
        <v>454</v>
      </c>
      <c r="F1" s="7" t="s">
        <v>455</v>
      </c>
      <c r="G1" s="7" t="s">
        <v>80</v>
      </c>
      <c r="H1" s="7" t="s">
        <v>456</v>
      </c>
      <c r="I1" s="7" t="s">
        <v>457</v>
      </c>
      <c r="J1" s="7" t="s">
        <v>458</v>
      </c>
      <c r="K1" s="7" t="s">
        <v>125</v>
      </c>
      <c r="L1" s="7" t="s">
        <v>459</v>
      </c>
    </row>
    <row r="2" spans="1:12" x14ac:dyDescent="0.3">
      <c r="A2" s="33" t="s">
        <v>460</v>
      </c>
      <c r="B2" s="33" t="s">
        <v>461</v>
      </c>
      <c r="C2" s="33" t="s">
        <v>462</v>
      </c>
      <c r="D2" s="33" t="s">
        <v>463</v>
      </c>
      <c r="E2" s="13">
        <v>46237</v>
      </c>
      <c r="F2" s="33" t="s">
        <v>464</v>
      </c>
      <c r="G2" s="33" t="s">
        <v>83</v>
      </c>
      <c r="H2" s="33"/>
      <c r="I2" s="13">
        <v>46239</v>
      </c>
      <c r="J2" s="40" t="str">
        <f>IF(G2="Pending",IF(E2="","",Masters!$B$21-E2),"")</f>
        <v/>
      </c>
      <c r="K2" s="34" t="str">
        <f t="shared" ref="K2:K33" si="0">IF(A2="","Missing Ref",IF(COUNTIF($A$2:$A$500,A2)&gt;1,"Duplicate Ref",IF(OR(B2="",C2="",D2="",E2="",G2=""),"Missing Info",IF(AND(G2="Discrepancy",H2=""),"Remark Needed",IF(AND(G2="Verified",I2=""),"Verified Date Needed","OK")))))</f>
        <v>OK</v>
      </c>
      <c r="L2" s="34" t="str">
        <f>IF(G2&lt;&gt;"Pending","",IF(J2="","",IF(J2&gt;Masters!$B$20,"Overdue","Within SLA")))</f>
        <v/>
      </c>
    </row>
    <row r="3" spans="1:12" x14ac:dyDescent="0.3">
      <c r="A3" s="33" t="s">
        <v>465</v>
      </c>
      <c r="B3" s="33" t="s">
        <v>461</v>
      </c>
      <c r="C3" s="33" t="s">
        <v>466</v>
      </c>
      <c r="D3" s="33" t="s">
        <v>467</v>
      </c>
      <c r="E3" s="13">
        <v>46237</v>
      </c>
      <c r="F3" s="33" t="s">
        <v>468</v>
      </c>
      <c r="G3" s="33" t="s">
        <v>85</v>
      </c>
      <c r="H3" s="33" t="s">
        <v>469</v>
      </c>
      <c r="I3" s="13"/>
      <c r="J3" s="40" t="str">
        <f>IF(G3="Pending",IF(E3="","",Masters!$B$21-E3),"")</f>
        <v/>
      </c>
      <c r="K3" s="34" t="str">
        <f t="shared" si="0"/>
        <v>OK</v>
      </c>
      <c r="L3" s="34" t="str">
        <f>IF(G3&lt;&gt;"Pending","",IF(J3="","",IF(J3&gt;Masters!$B$20,"Overdue","Within SLA")))</f>
        <v/>
      </c>
    </row>
    <row r="4" spans="1:12" x14ac:dyDescent="0.3">
      <c r="A4" s="33" t="s">
        <v>470</v>
      </c>
      <c r="B4" s="33" t="s">
        <v>461</v>
      </c>
      <c r="C4" s="33" t="s">
        <v>471</v>
      </c>
      <c r="D4" s="33" t="s">
        <v>472</v>
      </c>
      <c r="E4" s="13">
        <v>46237</v>
      </c>
      <c r="F4" s="33" t="s">
        <v>468</v>
      </c>
      <c r="G4" s="33" t="s">
        <v>83</v>
      </c>
      <c r="H4" s="33"/>
      <c r="I4" s="13">
        <v>46241</v>
      </c>
      <c r="J4" s="40" t="str">
        <f>IF(G4="Pending",IF(E4="","",Masters!$B$21-E4),"")</f>
        <v/>
      </c>
      <c r="K4" s="34" t="str">
        <f t="shared" si="0"/>
        <v>OK</v>
      </c>
      <c r="L4" s="34" t="str">
        <f>IF(G4&lt;&gt;"Pending","",IF(J4="","",IF(J4&gt;Masters!$B$20,"Overdue","Within SLA")))</f>
        <v/>
      </c>
    </row>
    <row r="5" spans="1:12" x14ac:dyDescent="0.3">
      <c r="A5" s="33" t="s">
        <v>473</v>
      </c>
      <c r="B5" s="33" t="s">
        <v>461</v>
      </c>
      <c r="C5" s="33" t="s">
        <v>462</v>
      </c>
      <c r="D5" s="33" t="s">
        <v>474</v>
      </c>
      <c r="E5" s="13">
        <v>46237</v>
      </c>
      <c r="F5" s="33" t="s">
        <v>475</v>
      </c>
      <c r="G5" s="33" t="s">
        <v>83</v>
      </c>
      <c r="H5" s="33"/>
      <c r="I5" s="13">
        <v>46237</v>
      </c>
      <c r="J5" s="40" t="str">
        <f>IF(G5="Pending",IF(E5="","",Masters!$B$21-E5),"")</f>
        <v/>
      </c>
      <c r="K5" s="34" t="str">
        <f t="shared" si="0"/>
        <v>OK</v>
      </c>
      <c r="L5" s="34" t="str">
        <f>IF(G5&lt;&gt;"Pending","",IF(J5="","",IF(J5&gt;Masters!$B$20,"Overdue","Within SLA")))</f>
        <v/>
      </c>
    </row>
    <row r="6" spans="1:12" x14ac:dyDescent="0.3">
      <c r="A6" s="33" t="s">
        <v>476</v>
      </c>
      <c r="B6" s="33" t="s">
        <v>110</v>
      </c>
      <c r="C6" s="33" t="s">
        <v>151</v>
      </c>
      <c r="D6" s="33" t="s">
        <v>477</v>
      </c>
      <c r="E6" s="13">
        <v>46237</v>
      </c>
      <c r="F6" s="33" t="s">
        <v>468</v>
      </c>
      <c r="G6" s="33" t="s">
        <v>83</v>
      </c>
      <c r="H6" s="33"/>
      <c r="I6" s="13">
        <v>46241</v>
      </c>
      <c r="J6" s="40" t="str">
        <f>IF(G6="Pending",IF(E6="","",Masters!$B$21-E6),"")</f>
        <v/>
      </c>
      <c r="K6" s="34" t="str">
        <f t="shared" si="0"/>
        <v>OK</v>
      </c>
      <c r="L6" s="34" t="str">
        <f>IF(G6&lt;&gt;"Pending","",IF(J6="","",IF(J6&gt;Masters!$B$20,"Overdue","Within SLA")))</f>
        <v/>
      </c>
    </row>
    <row r="7" spans="1:12" x14ac:dyDescent="0.3">
      <c r="A7" s="33" t="s">
        <v>478</v>
      </c>
      <c r="B7" s="33" t="s">
        <v>461</v>
      </c>
      <c r="C7" s="33" t="s">
        <v>479</v>
      </c>
      <c r="D7" s="33" t="s">
        <v>472</v>
      </c>
      <c r="E7" s="13">
        <v>46238</v>
      </c>
      <c r="F7" s="33" t="s">
        <v>468</v>
      </c>
      <c r="G7" s="33" t="s">
        <v>83</v>
      </c>
      <c r="H7" s="33"/>
      <c r="I7" s="13">
        <v>46238</v>
      </c>
      <c r="J7" s="40" t="str">
        <f>IF(G7="Pending",IF(E7="","",Masters!$B$21-E7),"")</f>
        <v/>
      </c>
      <c r="K7" s="34" t="str">
        <f t="shared" si="0"/>
        <v>OK</v>
      </c>
      <c r="L7" s="34" t="str">
        <f>IF(G7&lt;&gt;"Pending","",IF(J7="","",IF(J7&gt;Masters!$B$20,"Overdue","Within SLA")))</f>
        <v/>
      </c>
    </row>
    <row r="8" spans="1:12" x14ac:dyDescent="0.3">
      <c r="A8" s="33" t="s">
        <v>480</v>
      </c>
      <c r="B8" s="33" t="s">
        <v>110</v>
      </c>
      <c r="C8" s="33" t="s">
        <v>131</v>
      </c>
      <c r="D8" s="33" t="s">
        <v>477</v>
      </c>
      <c r="E8" s="13">
        <v>46239</v>
      </c>
      <c r="F8" s="33" t="s">
        <v>464</v>
      </c>
      <c r="G8" s="33" t="s">
        <v>83</v>
      </c>
      <c r="H8" s="33"/>
      <c r="I8" s="13">
        <v>46243</v>
      </c>
      <c r="J8" s="40" t="str">
        <f>IF(G8="Pending",IF(E8="","",Masters!$B$21-E8),"")</f>
        <v/>
      </c>
      <c r="K8" s="34" t="str">
        <f t="shared" si="0"/>
        <v>OK</v>
      </c>
      <c r="L8" s="34" t="str">
        <f>IF(G8&lt;&gt;"Pending","",IF(J8="","",IF(J8&gt;Masters!$B$20,"Overdue","Within SLA")))</f>
        <v/>
      </c>
    </row>
    <row r="9" spans="1:12" x14ac:dyDescent="0.3">
      <c r="A9" s="33" t="s">
        <v>481</v>
      </c>
      <c r="B9" s="33" t="s">
        <v>461</v>
      </c>
      <c r="C9" s="33" t="s">
        <v>471</v>
      </c>
      <c r="D9" s="33" t="s">
        <v>463</v>
      </c>
      <c r="E9" s="13">
        <v>46239</v>
      </c>
      <c r="F9" s="33" t="s">
        <v>468</v>
      </c>
      <c r="G9" s="33" t="s">
        <v>83</v>
      </c>
      <c r="H9" s="33"/>
      <c r="I9" s="13">
        <v>46241</v>
      </c>
      <c r="J9" s="40" t="str">
        <f>IF(G9="Pending",IF(E9="","",Masters!$B$21-E9),"")</f>
        <v/>
      </c>
      <c r="K9" s="34" t="str">
        <f t="shared" si="0"/>
        <v>OK</v>
      </c>
      <c r="L9" s="34" t="str">
        <f>IF(G9&lt;&gt;"Pending","",IF(J9="","",IF(J9&gt;Masters!$B$20,"Overdue","Within SLA")))</f>
        <v/>
      </c>
    </row>
    <row r="10" spans="1:12" x14ac:dyDescent="0.3">
      <c r="A10" s="33" t="s">
        <v>482</v>
      </c>
      <c r="B10" s="33" t="s">
        <v>110</v>
      </c>
      <c r="C10" s="33" t="s">
        <v>146</v>
      </c>
      <c r="D10" s="33" t="s">
        <v>483</v>
      </c>
      <c r="E10" s="13">
        <v>46240</v>
      </c>
      <c r="F10" s="33" t="s">
        <v>475</v>
      </c>
      <c r="G10" s="33" t="s">
        <v>83</v>
      </c>
      <c r="H10" s="33"/>
      <c r="I10" s="13">
        <v>46240</v>
      </c>
      <c r="J10" s="40" t="str">
        <f>IF(G10="Pending",IF(E10="","",Masters!$B$21-E10),"")</f>
        <v/>
      </c>
      <c r="K10" s="34" t="str">
        <f t="shared" si="0"/>
        <v>OK</v>
      </c>
      <c r="L10" s="34" t="str">
        <f>IF(G10&lt;&gt;"Pending","",IF(J10="","",IF(J10&gt;Masters!$B$20,"Overdue","Within SLA")))</f>
        <v/>
      </c>
    </row>
    <row r="11" spans="1:12" x14ac:dyDescent="0.3">
      <c r="A11" s="33" t="s">
        <v>484</v>
      </c>
      <c r="B11" s="33" t="s">
        <v>461</v>
      </c>
      <c r="C11" s="33" t="s">
        <v>485</v>
      </c>
      <c r="D11" s="33" t="s">
        <v>472</v>
      </c>
      <c r="E11" s="13">
        <v>46240</v>
      </c>
      <c r="F11" s="33" t="s">
        <v>464</v>
      </c>
      <c r="G11" s="33" t="s">
        <v>83</v>
      </c>
      <c r="H11" s="33"/>
      <c r="I11" s="13">
        <v>46241</v>
      </c>
      <c r="J11" s="40" t="str">
        <f>IF(G11="Pending",IF(E11="","",Masters!$B$21-E11),"")</f>
        <v/>
      </c>
      <c r="K11" s="34" t="str">
        <f t="shared" si="0"/>
        <v>OK</v>
      </c>
      <c r="L11" s="34" t="str">
        <f>IF(G11&lt;&gt;"Pending","",IF(J11="","",IF(J11&gt;Masters!$B$20,"Overdue","Within SLA")))</f>
        <v/>
      </c>
    </row>
    <row r="12" spans="1:12" x14ac:dyDescent="0.3">
      <c r="A12" s="33" t="s">
        <v>486</v>
      </c>
      <c r="B12" s="33" t="s">
        <v>461</v>
      </c>
      <c r="C12" s="33" t="s">
        <v>487</v>
      </c>
      <c r="D12" s="33" t="s">
        <v>472</v>
      </c>
      <c r="E12" s="13">
        <v>46240</v>
      </c>
      <c r="F12" s="33" t="s">
        <v>475</v>
      </c>
      <c r="G12" s="33" t="s">
        <v>83</v>
      </c>
      <c r="H12" s="33"/>
      <c r="I12" s="13">
        <v>46243</v>
      </c>
      <c r="J12" s="40" t="str">
        <f>IF(G12="Pending",IF(E12="","",Masters!$B$21-E12),"")</f>
        <v/>
      </c>
      <c r="K12" s="34" t="str">
        <f t="shared" si="0"/>
        <v>OK</v>
      </c>
      <c r="L12" s="34" t="str">
        <f>IF(G12&lt;&gt;"Pending","",IF(J12="","",IF(J12&gt;Masters!$B$20,"Overdue","Within SLA")))</f>
        <v/>
      </c>
    </row>
    <row r="13" spans="1:12" x14ac:dyDescent="0.3">
      <c r="A13" s="33" t="s">
        <v>488</v>
      </c>
      <c r="B13" s="33" t="s">
        <v>461</v>
      </c>
      <c r="C13" s="33" t="s">
        <v>487</v>
      </c>
      <c r="D13" s="33" t="s">
        <v>474</v>
      </c>
      <c r="E13" s="13">
        <v>46241</v>
      </c>
      <c r="F13" s="33" t="s">
        <v>468</v>
      </c>
      <c r="G13" s="33" t="s">
        <v>83</v>
      </c>
      <c r="H13" s="33"/>
      <c r="I13" s="13">
        <v>46242</v>
      </c>
      <c r="J13" s="40" t="str">
        <f>IF(G13="Pending",IF(E13="","",Masters!$B$21-E13),"")</f>
        <v/>
      </c>
      <c r="K13" s="34" t="str">
        <f t="shared" si="0"/>
        <v>OK</v>
      </c>
      <c r="L13" s="34" t="str">
        <f>IF(G13&lt;&gt;"Pending","",IF(J13="","",IF(J13&gt;Masters!$B$20,"Overdue","Within SLA")))</f>
        <v/>
      </c>
    </row>
    <row r="14" spans="1:12" x14ac:dyDescent="0.3">
      <c r="A14" s="33" t="s">
        <v>489</v>
      </c>
      <c r="B14" s="33" t="s">
        <v>110</v>
      </c>
      <c r="C14" s="33" t="s">
        <v>171</v>
      </c>
      <c r="D14" s="33" t="s">
        <v>483</v>
      </c>
      <c r="E14" s="13">
        <v>46241</v>
      </c>
      <c r="F14" s="33" t="s">
        <v>475</v>
      </c>
      <c r="G14" s="33" t="s">
        <v>83</v>
      </c>
      <c r="H14" s="33"/>
      <c r="I14" s="13">
        <v>46244</v>
      </c>
      <c r="J14" s="40" t="str">
        <f>IF(G14="Pending",IF(E14="","",Masters!$B$21-E14),"")</f>
        <v/>
      </c>
      <c r="K14" s="34" t="str">
        <f t="shared" si="0"/>
        <v>OK</v>
      </c>
      <c r="L14" s="34" t="str">
        <f>IF(G14&lt;&gt;"Pending","",IF(J14="","",IF(J14&gt;Masters!$B$20,"Overdue","Within SLA")))</f>
        <v/>
      </c>
    </row>
    <row r="15" spans="1:12" x14ac:dyDescent="0.3">
      <c r="A15" s="33" t="s">
        <v>490</v>
      </c>
      <c r="B15" s="33" t="s">
        <v>110</v>
      </c>
      <c r="C15" s="33" t="s">
        <v>180</v>
      </c>
      <c r="D15" s="33" t="s">
        <v>491</v>
      </c>
      <c r="E15" s="13">
        <v>46241</v>
      </c>
      <c r="F15" s="33" t="s">
        <v>468</v>
      </c>
      <c r="G15" s="33" t="s">
        <v>83</v>
      </c>
      <c r="H15" s="33"/>
      <c r="I15" s="13">
        <v>46245</v>
      </c>
      <c r="J15" s="40" t="str">
        <f>IF(G15="Pending",IF(E15="","",Masters!$B$21-E15),"")</f>
        <v/>
      </c>
      <c r="K15" s="34" t="str">
        <f t="shared" si="0"/>
        <v>OK</v>
      </c>
      <c r="L15" s="34" t="str">
        <f>IF(G15&lt;&gt;"Pending","",IF(J15="","",IF(J15&gt;Masters!$B$20,"Overdue","Within SLA")))</f>
        <v/>
      </c>
    </row>
    <row r="16" spans="1:12" x14ac:dyDescent="0.3">
      <c r="A16" s="33" t="s">
        <v>492</v>
      </c>
      <c r="B16" s="33" t="s">
        <v>110</v>
      </c>
      <c r="C16" s="33" t="s">
        <v>167</v>
      </c>
      <c r="D16" s="33" t="s">
        <v>491</v>
      </c>
      <c r="E16" s="13">
        <v>46241</v>
      </c>
      <c r="F16" s="33" t="s">
        <v>464</v>
      </c>
      <c r="G16" s="33" t="s">
        <v>83</v>
      </c>
      <c r="H16" s="33"/>
      <c r="I16" s="13">
        <v>46245</v>
      </c>
      <c r="J16" s="40" t="str">
        <f>IF(G16="Pending",IF(E16="","",Masters!$B$21-E16),"")</f>
        <v/>
      </c>
      <c r="K16" s="34" t="str">
        <f t="shared" si="0"/>
        <v>OK</v>
      </c>
      <c r="L16" s="34" t="str">
        <f>IF(G16&lt;&gt;"Pending","",IF(J16="","",IF(J16&gt;Masters!$B$20,"Overdue","Within SLA")))</f>
        <v/>
      </c>
    </row>
    <row r="17" spans="1:12" x14ac:dyDescent="0.3">
      <c r="A17" s="33" t="s">
        <v>493</v>
      </c>
      <c r="B17" s="33" t="s">
        <v>461</v>
      </c>
      <c r="C17" s="33" t="s">
        <v>494</v>
      </c>
      <c r="D17" s="33" t="s">
        <v>472</v>
      </c>
      <c r="E17" s="13">
        <v>46242</v>
      </c>
      <c r="F17" s="33" t="s">
        <v>464</v>
      </c>
      <c r="G17" s="33" t="s">
        <v>83</v>
      </c>
      <c r="H17" s="33"/>
      <c r="I17" s="13">
        <v>46242</v>
      </c>
      <c r="J17" s="40" t="str">
        <f>IF(G17="Pending",IF(E17="","",Masters!$B$21-E17),"")</f>
        <v/>
      </c>
      <c r="K17" s="34" t="str">
        <f t="shared" si="0"/>
        <v>OK</v>
      </c>
      <c r="L17" s="34" t="str">
        <f>IF(G17&lt;&gt;"Pending","",IF(J17="","",IF(J17&gt;Masters!$B$20,"Overdue","Within SLA")))</f>
        <v/>
      </c>
    </row>
    <row r="18" spans="1:12" x14ac:dyDescent="0.3">
      <c r="A18" s="33" t="s">
        <v>495</v>
      </c>
      <c r="B18" s="33" t="s">
        <v>461</v>
      </c>
      <c r="C18" s="33"/>
      <c r="D18" s="33" t="s">
        <v>474</v>
      </c>
      <c r="E18" s="13">
        <v>46242</v>
      </c>
      <c r="F18" s="33" t="s">
        <v>464</v>
      </c>
      <c r="G18" s="33" t="s">
        <v>83</v>
      </c>
      <c r="H18" s="33"/>
      <c r="I18" s="13">
        <v>46246</v>
      </c>
      <c r="J18" s="40" t="str">
        <f>IF(G18="Pending",IF(E18="","",Masters!$B$21-E18),"")</f>
        <v/>
      </c>
      <c r="K18" s="34" t="str">
        <f t="shared" si="0"/>
        <v>Missing Info</v>
      </c>
      <c r="L18" s="34" t="str">
        <f>IF(G18&lt;&gt;"Pending","",IF(J18="","",IF(J18&gt;Masters!$B$20,"Overdue","Within SLA")))</f>
        <v/>
      </c>
    </row>
    <row r="19" spans="1:12" x14ac:dyDescent="0.3">
      <c r="A19" s="33" t="s">
        <v>496</v>
      </c>
      <c r="B19" s="33" t="s">
        <v>461</v>
      </c>
      <c r="C19" s="33" t="s">
        <v>497</v>
      </c>
      <c r="D19" s="33" t="s">
        <v>474</v>
      </c>
      <c r="E19" s="13">
        <v>46243</v>
      </c>
      <c r="F19" s="33" t="s">
        <v>464</v>
      </c>
      <c r="G19" s="33" t="s">
        <v>83</v>
      </c>
      <c r="H19" s="33"/>
      <c r="I19" s="13">
        <v>46245</v>
      </c>
      <c r="J19" s="40" t="str">
        <f>IF(G19="Pending",IF(E19="","",Masters!$B$21-E19),"")</f>
        <v/>
      </c>
      <c r="K19" s="34" t="str">
        <f t="shared" si="0"/>
        <v>OK</v>
      </c>
      <c r="L19" s="34" t="str">
        <f>IF(G19&lt;&gt;"Pending","",IF(J19="","",IF(J19&gt;Masters!$B$20,"Overdue","Within SLA")))</f>
        <v/>
      </c>
    </row>
    <row r="20" spans="1:12" x14ac:dyDescent="0.3">
      <c r="A20" s="33" t="s">
        <v>498</v>
      </c>
      <c r="B20" s="33" t="s">
        <v>110</v>
      </c>
      <c r="C20" s="33" t="s">
        <v>131</v>
      </c>
      <c r="D20" s="33" t="s">
        <v>491</v>
      </c>
      <c r="E20" s="13">
        <v>46244</v>
      </c>
      <c r="F20" s="33" t="s">
        <v>475</v>
      </c>
      <c r="G20" s="33" t="s">
        <v>83</v>
      </c>
      <c r="H20" s="33"/>
      <c r="I20" s="13">
        <v>46246</v>
      </c>
      <c r="J20" s="40" t="str">
        <f>IF(G20="Pending",IF(E20="","",Masters!$B$21-E20),"")</f>
        <v/>
      </c>
      <c r="K20" s="34" t="str">
        <f t="shared" si="0"/>
        <v>OK</v>
      </c>
      <c r="L20" s="34" t="str">
        <f>IF(G20&lt;&gt;"Pending","",IF(J20="","",IF(J20&gt;Masters!$B$20,"Overdue","Within SLA")))</f>
        <v/>
      </c>
    </row>
    <row r="21" spans="1:12" x14ac:dyDescent="0.3">
      <c r="A21" s="33" t="s">
        <v>499</v>
      </c>
      <c r="B21" s="33" t="s">
        <v>461</v>
      </c>
      <c r="C21" s="33" t="s">
        <v>500</v>
      </c>
      <c r="D21" s="33" t="s">
        <v>472</v>
      </c>
      <c r="E21" s="13">
        <v>46244</v>
      </c>
      <c r="F21" s="33" t="s">
        <v>464</v>
      </c>
      <c r="G21" s="33" t="s">
        <v>85</v>
      </c>
      <c r="H21" s="33" t="s">
        <v>501</v>
      </c>
      <c r="I21" s="13"/>
      <c r="J21" s="40" t="str">
        <f>IF(G21="Pending",IF(E21="","",Masters!$B$21-E21),"")</f>
        <v/>
      </c>
      <c r="K21" s="34" t="str">
        <f t="shared" si="0"/>
        <v>OK</v>
      </c>
      <c r="L21" s="34" t="str">
        <f>IF(G21&lt;&gt;"Pending","",IF(J21="","",IF(J21&gt;Masters!$B$20,"Overdue","Within SLA")))</f>
        <v/>
      </c>
    </row>
    <row r="22" spans="1:12" x14ac:dyDescent="0.3">
      <c r="A22" s="33" t="s">
        <v>502</v>
      </c>
      <c r="B22" s="33" t="s">
        <v>461</v>
      </c>
      <c r="C22" s="33" t="s">
        <v>503</v>
      </c>
      <c r="D22" s="33" t="s">
        <v>504</v>
      </c>
      <c r="E22" s="13">
        <v>46244</v>
      </c>
      <c r="F22" s="33" t="s">
        <v>464</v>
      </c>
      <c r="G22" s="33" t="s">
        <v>83</v>
      </c>
      <c r="H22" s="33"/>
      <c r="I22" s="13">
        <v>46248</v>
      </c>
      <c r="J22" s="40" t="str">
        <f>IF(G22="Pending",IF(E22="","",Masters!$B$21-E22),"")</f>
        <v/>
      </c>
      <c r="K22" s="34" t="str">
        <f t="shared" si="0"/>
        <v>OK</v>
      </c>
      <c r="L22" s="34" t="str">
        <f>IF(G22&lt;&gt;"Pending","",IF(J22="","",IF(J22&gt;Masters!$B$20,"Overdue","Within SLA")))</f>
        <v/>
      </c>
    </row>
    <row r="23" spans="1:12" x14ac:dyDescent="0.3">
      <c r="A23" s="33" t="s">
        <v>505</v>
      </c>
      <c r="B23" s="33" t="s">
        <v>461</v>
      </c>
      <c r="C23" s="33" t="s">
        <v>466</v>
      </c>
      <c r="D23" s="33" t="s">
        <v>504</v>
      </c>
      <c r="E23" s="13">
        <v>46246</v>
      </c>
      <c r="F23" s="33" t="s">
        <v>475</v>
      </c>
      <c r="G23" s="33" t="s">
        <v>83</v>
      </c>
      <c r="H23" s="33"/>
      <c r="I23" s="13">
        <v>46248</v>
      </c>
      <c r="J23" s="40" t="str">
        <f>IF(G23="Pending",IF(E23="","",Masters!$B$21-E23),"")</f>
        <v/>
      </c>
      <c r="K23" s="34" t="str">
        <f t="shared" si="0"/>
        <v>OK</v>
      </c>
      <c r="L23" s="34" t="str">
        <f>IF(G23&lt;&gt;"Pending","",IF(J23="","",IF(J23&gt;Masters!$B$20,"Overdue","Within SLA")))</f>
        <v/>
      </c>
    </row>
    <row r="24" spans="1:12" x14ac:dyDescent="0.3">
      <c r="A24" s="33" t="s">
        <v>506</v>
      </c>
      <c r="B24" s="33" t="s">
        <v>461</v>
      </c>
      <c r="C24" s="33" t="s">
        <v>507</v>
      </c>
      <c r="D24" s="33" t="s">
        <v>463</v>
      </c>
      <c r="E24" s="13">
        <v>46247</v>
      </c>
      <c r="F24" s="33" t="s">
        <v>468</v>
      </c>
      <c r="G24" s="33" t="s">
        <v>83</v>
      </c>
      <c r="H24" s="33"/>
      <c r="I24" s="13">
        <v>46249</v>
      </c>
      <c r="J24" s="40" t="str">
        <f>IF(G24="Pending",IF(E24="","",Masters!$B$21-E24),"")</f>
        <v/>
      </c>
      <c r="K24" s="34" t="str">
        <f t="shared" si="0"/>
        <v>OK</v>
      </c>
      <c r="L24" s="34" t="str">
        <f>IF(G24&lt;&gt;"Pending","",IF(J24="","",IF(J24&gt;Masters!$B$20,"Overdue","Within SLA")))</f>
        <v/>
      </c>
    </row>
    <row r="25" spans="1:12" x14ac:dyDescent="0.3">
      <c r="A25" s="33" t="s">
        <v>508</v>
      </c>
      <c r="B25" s="33" t="s">
        <v>461</v>
      </c>
      <c r="C25" s="33" t="s">
        <v>462</v>
      </c>
      <c r="D25" s="33" t="s">
        <v>467</v>
      </c>
      <c r="E25" s="13">
        <v>46247</v>
      </c>
      <c r="F25" s="33" t="s">
        <v>468</v>
      </c>
      <c r="G25" s="33" t="s">
        <v>83</v>
      </c>
      <c r="H25" s="33"/>
      <c r="I25" s="13">
        <v>46251</v>
      </c>
      <c r="J25" s="40" t="str">
        <f>IF(G25="Pending",IF(E25="","",Masters!$B$21-E25),"")</f>
        <v/>
      </c>
      <c r="K25" s="34" t="str">
        <f t="shared" si="0"/>
        <v>OK</v>
      </c>
      <c r="L25" s="34" t="str">
        <f>IF(G25&lt;&gt;"Pending","",IF(J25="","",IF(J25&gt;Masters!$B$20,"Overdue","Within SLA")))</f>
        <v/>
      </c>
    </row>
    <row r="26" spans="1:12" x14ac:dyDescent="0.3">
      <c r="A26" s="33" t="s">
        <v>509</v>
      </c>
      <c r="B26" s="33" t="s">
        <v>110</v>
      </c>
      <c r="C26" s="33" t="s">
        <v>131</v>
      </c>
      <c r="D26" s="33" t="s">
        <v>504</v>
      </c>
      <c r="E26" s="13">
        <v>46247</v>
      </c>
      <c r="F26" s="33" t="s">
        <v>475</v>
      </c>
      <c r="G26" s="33" t="s">
        <v>83</v>
      </c>
      <c r="H26" s="33"/>
      <c r="I26" s="13">
        <v>46250</v>
      </c>
      <c r="J26" s="40" t="str">
        <f>IF(G26="Pending",IF(E26="","",Masters!$B$21-E26),"")</f>
        <v/>
      </c>
      <c r="K26" s="34" t="str">
        <f t="shared" si="0"/>
        <v>OK</v>
      </c>
      <c r="L26" s="34" t="str">
        <f>IF(G26&lt;&gt;"Pending","",IF(J26="","",IF(J26&gt;Masters!$B$20,"Overdue","Within SLA")))</f>
        <v/>
      </c>
    </row>
    <row r="27" spans="1:12" x14ac:dyDescent="0.3">
      <c r="A27" s="33" t="s">
        <v>510</v>
      </c>
      <c r="B27" s="33" t="s">
        <v>461</v>
      </c>
      <c r="C27" s="33" t="s">
        <v>511</v>
      </c>
      <c r="D27" s="33" t="s">
        <v>474</v>
      </c>
      <c r="E27" s="13">
        <v>46247</v>
      </c>
      <c r="F27" s="33" t="s">
        <v>464</v>
      </c>
      <c r="G27" s="33" t="s">
        <v>83</v>
      </c>
      <c r="H27" s="33"/>
      <c r="I27" s="13">
        <v>46249</v>
      </c>
      <c r="J27" s="40" t="str">
        <f>IF(G27="Pending",IF(E27="","",Masters!$B$21-E27),"")</f>
        <v/>
      </c>
      <c r="K27" s="34" t="str">
        <f t="shared" si="0"/>
        <v>OK</v>
      </c>
      <c r="L27" s="34" t="str">
        <f>IF(G27&lt;&gt;"Pending","",IF(J27="","",IF(J27&gt;Masters!$B$20,"Overdue","Within SLA")))</f>
        <v/>
      </c>
    </row>
    <row r="28" spans="1:12" x14ac:dyDescent="0.3">
      <c r="A28" s="33" t="s">
        <v>512</v>
      </c>
      <c r="B28" s="33" t="s">
        <v>461</v>
      </c>
      <c r="C28" s="33" t="s">
        <v>513</v>
      </c>
      <c r="D28" s="33" t="s">
        <v>472</v>
      </c>
      <c r="E28" s="13">
        <v>46248</v>
      </c>
      <c r="F28" s="33" t="s">
        <v>468</v>
      </c>
      <c r="G28" s="33" t="s">
        <v>83</v>
      </c>
      <c r="H28" s="33"/>
      <c r="I28" s="13">
        <v>46250</v>
      </c>
      <c r="J28" s="40" t="str">
        <f>IF(G28="Pending",IF(E28="","",Masters!$B$21-E28),"")</f>
        <v/>
      </c>
      <c r="K28" s="34" t="str">
        <f t="shared" si="0"/>
        <v>OK</v>
      </c>
      <c r="L28" s="34" t="str">
        <f>IF(G28&lt;&gt;"Pending","",IF(J28="","",IF(J28&gt;Masters!$B$20,"Overdue","Within SLA")))</f>
        <v/>
      </c>
    </row>
    <row r="29" spans="1:12" x14ac:dyDescent="0.3">
      <c r="A29" s="33" t="s">
        <v>514</v>
      </c>
      <c r="B29" s="33" t="s">
        <v>461</v>
      </c>
      <c r="C29" s="33" t="s">
        <v>515</v>
      </c>
      <c r="D29" s="33" t="s">
        <v>472</v>
      </c>
      <c r="E29" s="13">
        <v>46248</v>
      </c>
      <c r="F29" s="33" t="s">
        <v>464</v>
      </c>
      <c r="G29" s="33" t="s">
        <v>83</v>
      </c>
      <c r="H29" s="33"/>
      <c r="I29" s="13">
        <v>46249</v>
      </c>
      <c r="J29" s="40" t="str">
        <f>IF(G29="Pending",IF(E29="","",Masters!$B$21-E29),"")</f>
        <v/>
      </c>
      <c r="K29" s="34" t="str">
        <f t="shared" si="0"/>
        <v>OK</v>
      </c>
      <c r="L29" s="34" t="str">
        <f>IF(G29&lt;&gt;"Pending","",IF(J29="","",IF(J29&gt;Masters!$B$20,"Overdue","Within SLA")))</f>
        <v/>
      </c>
    </row>
    <row r="30" spans="1:12" x14ac:dyDescent="0.3">
      <c r="A30" s="33" t="s">
        <v>516</v>
      </c>
      <c r="B30" s="33" t="s">
        <v>110</v>
      </c>
      <c r="C30" s="33" t="s">
        <v>127</v>
      </c>
      <c r="D30" s="33" t="s">
        <v>504</v>
      </c>
      <c r="E30" s="13">
        <v>46249</v>
      </c>
      <c r="F30" s="33" t="s">
        <v>464</v>
      </c>
      <c r="G30" s="33" t="s">
        <v>83</v>
      </c>
      <c r="H30" s="33"/>
      <c r="I30" s="13">
        <v>46250</v>
      </c>
      <c r="J30" s="40" t="str">
        <f>IF(G30="Pending",IF(E30="","",Masters!$B$21-E30),"")</f>
        <v/>
      </c>
      <c r="K30" s="34" t="str">
        <f t="shared" si="0"/>
        <v>OK</v>
      </c>
      <c r="L30" s="34" t="str">
        <f>IF(G30&lt;&gt;"Pending","",IF(J30="","",IF(J30&gt;Masters!$B$20,"Overdue","Within SLA")))</f>
        <v/>
      </c>
    </row>
    <row r="31" spans="1:12" x14ac:dyDescent="0.3">
      <c r="A31" s="33" t="s">
        <v>517</v>
      </c>
      <c r="B31" s="33" t="s">
        <v>461</v>
      </c>
      <c r="C31" s="33" t="s">
        <v>500</v>
      </c>
      <c r="D31" s="33" t="s">
        <v>467</v>
      </c>
      <c r="E31" s="13">
        <v>46250</v>
      </c>
      <c r="F31" s="33" t="s">
        <v>468</v>
      </c>
      <c r="G31" s="33" t="s">
        <v>83</v>
      </c>
      <c r="H31" s="33"/>
      <c r="I31" s="13">
        <v>46252</v>
      </c>
      <c r="J31" s="40" t="str">
        <f>IF(G31="Pending",IF(E31="","",Masters!$B$21-E31),"")</f>
        <v/>
      </c>
      <c r="K31" s="34" t="str">
        <f t="shared" si="0"/>
        <v>OK</v>
      </c>
      <c r="L31" s="34" t="str">
        <f>IF(G31&lt;&gt;"Pending","",IF(J31="","",IF(J31&gt;Masters!$B$20,"Overdue","Within SLA")))</f>
        <v/>
      </c>
    </row>
    <row r="32" spans="1:12" x14ac:dyDescent="0.3">
      <c r="A32" s="33" t="s">
        <v>518</v>
      </c>
      <c r="B32" s="33" t="s">
        <v>110</v>
      </c>
      <c r="C32" s="33" t="s">
        <v>171</v>
      </c>
      <c r="D32" s="33" t="s">
        <v>491</v>
      </c>
      <c r="E32" s="13">
        <v>46252</v>
      </c>
      <c r="F32" s="33" t="s">
        <v>464</v>
      </c>
      <c r="G32" s="33" t="s">
        <v>83</v>
      </c>
      <c r="H32" s="33"/>
      <c r="I32" s="13">
        <v>46255</v>
      </c>
      <c r="J32" s="40" t="str">
        <f>IF(G32="Pending",IF(E32="","",Masters!$B$21-E32),"")</f>
        <v/>
      </c>
      <c r="K32" s="34" t="str">
        <f t="shared" si="0"/>
        <v>OK</v>
      </c>
      <c r="L32" s="34" t="str">
        <f>IF(G32&lt;&gt;"Pending","",IF(J32="","",IF(J32&gt;Masters!$B$20,"Overdue","Within SLA")))</f>
        <v/>
      </c>
    </row>
    <row r="33" spans="1:12" x14ac:dyDescent="0.3">
      <c r="A33" s="33" t="s">
        <v>519</v>
      </c>
      <c r="B33" s="33" t="s">
        <v>110</v>
      </c>
      <c r="C33" s="33" t="s">
        <v>156</v>
      </c>
      <c r="D33" s="33" t="s">
        <v>477</v>
      </c>
      <c r="E33" s="13">
        <v>46252</v>
      </c>
      <c r="F33" s="33" t="s">
        <v>475</v>
      </c>
      <c r="G33" s="33" t="s">
        <v>83</v>
      </c>
      <c r="H33" s="33"/>
      <c r="I33" s="13">
        <v>46256</v>
      </c>
      <c r="J33" s="40" t="str">
        <f>IF(G33="Pending",IF(E33="","",Masters!$B$21-E33),"")</f>
        <v/>
      </c>
      <c r="K33" s="34" t="str">
        <f t="shared" si="0"/>
        <v>OK</v>
      </c>
      <c r="L33" s="34" t="str">
        <f>IF(G33&lt;&gt;"Pending","",IF(J33="","",IF(J33&gt;Masters!$B$20,"Overdue","Within SLA")))</f>
        <v/>
      </c>
    </row>
    <row r="34" spans="1:12" x14ac:dyDescent="0.3">
      <c r="A34" s="33" t="s">
        <v>520</v>
      </c>
      <c r="B34" s="33" t="s">
        <v>461</v>
      </c>
      <c r="C34" s="33" t="s">
        <v>494</v>
      </c>
      <c r="D34" s="33" t="s">
        <v>463</v>
      </c>
      <c r="E34" s="13">
        <v>46252</v>
      </c>
      <c r="F34" s="33" t="s">
        <v>464</v>
      </c>
      <c r="G34" s="33" t="s">
        <v>83</v>
      </c>
      <c r="H34" s="33"/>
      <c r="I34" s="13">
        <v>46253</v>
      </c>
      <c r="J34" s="40" t="str">
        <f>IF(G34="Pending",IF(E34="","",Masters!$B$21-E34),"")</f>
        <v/>
      </c>
      <c r="K34" s="34" t="str">
        <f t="shared" ref="K34:K65" si="1">IF(A34="","Missing Ref",IF(COUNTIF($A$2:$A$500,A34)&gt;1,"Duplicate Ref",IF(OR(B34="",C34="",D34="",E34="",G34=""),"Missing Info",IF(AND(G34="Discrepancy",H34=""),"Remark Needed",IF(AND(G34="Verified",I34=""),"Verified Date Needed","OK")))))</f>
        <v>OK</v>
      </c>
      <c r="L34" s="34" t="str">
        <f>IF(G34&lt;&gt;"Pending","",IF(J34="","",IF(J34&gt;Masters!$B$20,"Overdue","Within SLA")))</f>
        <v/>
      </c>
    </row>
    <row r="35" spans="1:12" x14ac:dyDescent="0.3">
      <c r="A35" s="33" t="s">
        <v>521</v>
      </c>
      <c r="B35" s="33" t="s">
        <v>461</v>
      </c>
      <c r="C35" s="33" t="s">
        <v>479</v>
      </c>
      <c r="D35" s="33" t="s">
        <v>504</v>
      </c>
      <c r="E35" s="13">
        <v>46252</v>
      </c>
      <c r="F35" s="33" t="s">
        <v>464</v>
      </c>
      <c r="G35" s="33" t="s">
        <v>83</v>
      </c>
      <c r="H35" s="33"/>
      <c r="I35" s="13">
        <v>46252</v>
      </c>
      <c r="J35" s="40" t="str">
        <f>IF(G35="Pending",IF(E35="","",Masters!$B$21-E35),"")</f>
        <v/>
      </c>
      <c r="K35" s="34" t="str">
        <f t="shared" si="1"/>
        <v>OK</v>
      </c>
      <c r="L35" s="34" t="str">
        <f>IF(G35&lt;&gt;"Pending","",IF(J35="","",IF(J35&gt;Masters!$B$20,"Overdue","Within SLA")))</f>
        <v/>
      </c>
    </row>
    <row r="36" spans="1:12" x14ac:dyDescent="0.3">
      <c r="A36" s="33" t="s">
        <v>522</v>
      </c>
      <c r="B36" s="33" t="s">
        <v>110</v>
      </c>
      <c r="C36" s="33" t="s">
        <v>180</v>
      </c>
      <c r="D36" s="33" t="s">
        <v>477</v>
      </c>
      <c r="E36" s="13">
        <v>46253</v>
      </c>
      <c r="F36" s="33" t="s">
        <v>468</v>
      </c>
      <c r="G36" s="33" t="s">
        <v>83</v>
      </c>
      <c r="H36" s="33"/>
      <c r="I36" s="13">
        <v>46255</v>
      </c>
      <c r="J36" s="40" t="str">
        <f>IF(G36="Pending",IF(E36="","",Masters!$B$21-E36),"")</f>
        <v/>
      </c>
      <c r="K36" s="34" t="str">
        <f t="shared" si="1"/>
        <v>OK</v>
      </c>
      <c r="L36" s="34" t="str">
        <f>IF(G36&lt;&gt;"Pending","",IF(J36="","",IF(J36&gt;Masters!$B$20,"Overdue","Within SLA")))</f>
        <v/>
      </c>
    </row>
    <row r="37" spans="1:12" x14ac:dyDescent="0.3">
      <c r="A37" s="33" t="s">
        <v>523</v>
      </c>
      <c r="B37" s="33" t="s">
        <v>110</v>
      </c>
      <c r="C37" s="33" t="s">
        <v>142</v>
      </c>
      <c r="D37" s="33" t="s">
        <v>491</v>
      </c>
      <c r="E37" s="13">
        <v>46253</v>
      </c>
      <c r="F37" s="33" t="s">
        <v>464</v>
      </c>
      <c r="G37" s="33" t="s">
        <v>83</v>
      </c>
      <c r="H37" s="33"/>
      <c r="I37" s="13">
        <v>46253</v>
      </c>
      <c r="J37" s="40" t="str">
        <f>IF(G37="Pending",IF(E37="","",Masters!$B$21-E37),"")</f>
        <v/>
      </c>
      <c r="K37" s="34" t="str">
        <f t="shared" si="1"/>
        <v>OK</v>
      </c>
      <c r="L37" s="34" t="str">
        <f>IF(G37&lt;&gt;"Pending","",IF(J37="","",IF(J37&gt;Masters!$B$20,"Overdue","Within SLA")))</f>
        <v/>
      </c>
    </row>
    <row r="38" spans="1:12" x14ac:dyDescent="0.3">
      <c r="A38" s="33" t="s">
        <v>524</v>
      </c>
      <c r="B38" s="33" t="s">
        <v>110</v>
      </c>
      <c r="C38" s="33" t="s">
        <v>156</v>
      </c>
      <c r="D38" s="33" t="s">
        <v>491</v>
      </c>
      <c r="E38" s="13">
        <v>46254</v>
      </c>
      <c r="F38" s="33" t="s">
        <v>475</v>
      </c>
      <c r="G38" s="33" t="s">
        <v>83</v>
      </c>
      <c r="H38" s="33"/>
      <c r="I38" s="13">
        <v>46256</v>
      </c>
      <c r="J38" s="40" t="str">
        <f>IF(G38="Pending",IF(E38="","",Masters!$B$21-E38),"")</f>
        <v/>
      </c>
      <c r="K38" s="34" t="str">
        <f t="shared" si="1"/>
        <v>OK</v>
      </c>
      <c r="L38" s="34" t="str">
        <f>IF(G38&lt;&gt;"Pending","",IF(J38="","",IF(J38&gt;Masters!$B$20,"Overdue","Within SLA")))</f>
        <v/>
      </c>
    </row>
    <row r="39" spans="1:12" x14ac:dyDescent="0.3">
      <c r="A39" s="33" t="s">
        <v>525</v>
      </c>
      <c r="B39" s="33" t="s">
        <v>461</v>
      </c>
      <c r="C39" s="33" t="s">
        <v>526</v>
      </c>
      <c r="D39" s="33" t="s">
        <v>472</v>
      </c>
      <c r="E39" s="13">
        <v>46254</v>
      </c>
      <c r="F39" s="33"/>
      <c r="G39" s="33" t="s">
        <v>84</v>
      </c>
      <c r="H39" s="33"/>
      <c r="I39" s="13"/>
      <c r="J39" s="40">
        <f ca="1">IF(G39="Pending",IF(E39="","",Masters!$B$21-E39),"")</f>
        <v>30</v>
      </c>
      <c r="K39" s="34" t="str">
        <f t="shared" si="1"/>
        <v>OK</v>
      </c>
      <c r="L39" s="34" t="str">
        <f ca="1">IF(G39&lt;&gt;"Pending","",IF(J39="","",IF(J39&gt;Masters!$B$20,"Overdue","Within SLA")))</f>
        <v>Overdue</v>
      </c>
    </row>
    <row r="40" spans="1:12" x14ac:dyDescent="0.3">
      <c r="A40" s="33" t="s">
        <v>527</v>
      </c>
      <c r="B40" s="33" t="s">
        <v>461</v>
      </c>
      <c r="C40" s="33" t="s">
        <v>528</v>
      </c>
      <c r="D40" s="33" t="s">
        <v>467</v>
      </c>
      <c r="E40" s="13">
        <v>46254</v>
      </c>
      <c r="F40" s="33" t="s">
        <v>464</v>
      </c>
      <c r="G40" s="33" t="s">
        <v>83</v>
      </c>
      <c r="H40" s="33"/>
      <c r="I40" s="13">
        <v>46256</v>
      </c>
      <c r="J40" s="40" t="str">
        <f>IF(G40="Pending",IF(E40="","",Masters!$B$21-E40),"")</f>
        <v/>
      </c>
      <c r="K40" s="34" t="str">
        <f t="shared" si="1"/>
        <v>OK</v>
      </c>
      <c r="L40" s="34" t="str">
        <f>IF(G40&lt;&gt;"Pending","",IF(J40="","",IF(J40&gt;Masters!$B$20,"Overdue","Within SLA")))</f>
        <v/>
      </c>
    </row>
    <row r="41" spans="1:12" x14ac:dyDescent="0.3">
      <c r="A41" s="33" t="s">
        <v>529</v>
      </c>
      <c r="B41" s="33" t="s">
        <v>110</v>
      </c>
      <c r="C41" s="33" t="s">
        <v>149</v>
      </c>
      <c r="D41" s="33" t="s">
        <v>477</v>
      </c>
      <c r="E41" s="13">
        <v>46255</v>
      </c>
      <c r="F41" s="33" t="s">
        <v>475</v>
      </c>
      <c r="G41" s="33" t="s">
        <v>83</v>
      </c>
      <c r="H41" s="33"/>
      <c r="I41" s="13">
        <v>46258</v>
      </c>
      <c r="J41" s="40" t="str">
        <f>IF(G41="Pending",IF(E41="","",Masters!$B$21-E41),"")</f>
        <v/>
      </c>
      <c r="K41" s="34" t="str">
        <f t="shared" si="1"/>
        <v>OK</v>
      </c>
      <c r="L41" s="34" t="str">
        <f>IF(G41&lt;&gt;"Pending","",IF(J41="","",IF(J41&gt;Masters!$B$20,"Overdue","Within SLA")))</f>
        <v/>
      </c>
    </row>
    <row r="42" spans="1:12" x14ac:dyDescent="0.3">
      <c r="A42" s="33" t="s">
        <v>530</v>
      </c>
      <c r="B42" s="33" t="s">
        <v>110</v>
      </c>
      <c r="C42" s="33" t="s">
        <v>167</v>
      </c>
      <c r="D42" s="33" t="s">
        <v>483</v>
      </c>
      <c r="E42" s="13">
        <v>46255</v>
      </c>
      <c r="F42" s="33" t="s">
        <v>468</v>
      </c>
      <c r="G42" s="33" t="s">
        <v>83</v>
      </c>
      <c r="H42" s="33"/>
      <c r="I42" s="13">
        <v>46257</v>
      </c>
      <c r="J42" s="40" t="str">
        <f>IF(G42="Pending",IF(E42="","",Masters!$B$21-E42),"")</f>
        <v/>
      </c>
      <c r="K42" s="34" t="str">
        <f t="shared" si="1"/>
        <v>OK</v>
      </c>
      <c r="L42" s="34" t="str">
        <f>IF(G42&lt;&gt;"Pending","",IF(J42="","",IF(J42&gt;Masters!$B$20,"Overdue","Within SLA")))</f>
        <v/>
      </c>
    </row>
    <row r="43" spans="1:12" x14ac:dyDescent="0.3">
      <c r="A43" s="33" t="s">
        <v>531</v>
      </c>
      <c r="B43" s="33" t="s">
        <v>461</v>
      </c>
      <c r="C43" s="33" t="s">
        <v>511</v>
      </c>
      <c r="D43" s="33" t="s">
        <v>463</v>
      </c>
      <c r="E43" s="13">
        <v>46256</v>
      </c>
      <c r="F43" s="33" t="s">
        <v>475</v>
      </c>
      <c r="G43" s="33" t="s">
        <v>83</v>
      </c>
      <c r="H43" s="33"/>
      <c r="I43" s="13">
        <v>46259</v>
      </c>
      <c r="J43" s="40" t="str">
        <f>IF(G43="Pending",IF(E43="","",Masters!$B$21-E43),"")</f>
        <v/>
      </c>
      <c r="K43" s="34" t="str">
        <f t="shared" si="1"/>
        <v>OK</v>
      </c>
      <c r="L43" s="34" t="str">
        <f>IF(G43&lt;&gt;"Pending","",IF(J43="","",IF(J43&gt;Masters!$B$20,"Overdue","Within SLA")))</f>
        <v/>
      </c>
    </row>
    <row r="44" spans="1:12" x14ac:dyDescent="0.3">
      <c r="A44" s="33" t="s">
        <v>532</v>
      </c>
      <c r="B44" s="33" t="s">
        <v>110</v>
      </c>
      <c r="C44" s="33" t="s">
        <v>149</v>
      </c>
      <c r="D44" s="33" t="s">
        <v>491</v>
      </c>
      <c r="E44" s="13">
        <v>46257</v>
      </c>
      <c r="F44" s="33" t="s">
        <v>468</v>
      </c>
      <c r="G44" s="33" t="s">
        <v>83</v>
      </c>
      <c r="H44" s="33"/>
      <c r="I44" s="13">
        <v>46260</v>
      </c>
      <c r="J44" s="40" t="str">
        <f>IF(G44="Pending",IF(E44="","",Masters!$B$21-E44),"")</f>
        <v/>
      </c>
      <c r="K44" s="34" t="str">
        <f t="shared" si="1"/>
        <v>OK</v>
      </c>
      <c r="L44" s="34" t="str">
        <f>IF(G44&lt;&gt;"Pending","",IF(J44="","",IF(J44&gt;Masters!$B$20,"Overdue","Within SLA")))</f>
        <v/>
      </c>
    </row>
    <row r="45" spans="1:12" x14ac:dyDescent="0.3">
      <c r="A45" s="33" t="s">
        <v>533</v>
      </c>
      <c r="B45" s="33" t="s">
        <v>461</v>
      </c>
      <c r="C45" s="33" t="s">
        <v>466</v>
      </c>
      <c r="D45" s="33" t="s">
        <v>474</v>
      </c>
      <c r="E45" s="13">
        <v>46257</v>
      </c>
      <c r="F45" s="33" t="s">
        <v>468</v>
      </c>
      <c r="G45" s="33" t="s">
        <v>83</v>
      </c>
      <c r="H45" s="33"/>
      <c r="I45" s="13">
        <v>46261</v>
      </c>
      <c r="J45" s="40" t="str">
        <f>IF(G45="Pending",IF(E45="","",Masters!$B$21-E45),"")</f>
        <v/>
      </c>
      <c r="K45" s="34" t="str">
        <f t="shared" si="1"/>
        <v>OK</v>
      </c>
      <c r="L45" s="34" t="str">
        <f>IF(G45&lt;&gt;"Pending","",IF(J45="","",IF(J45&gt;Masters!$B$20,"Overdue","Within SLA")))</f>
        <v/>
      </c>
    </row>
    <row r="46" spans="1:12" x14ac:dyDescent="0.3">
      <c r="A46" s="33" t="s">
        <v>534</v>
      </c>
      <c r="B46" s="33" t="s">
        <v>110</v>
      </c>
      <c r="C46" s="33" t="s">
        <v>151</v>
      </c>
      <c r="D46" s="33" t="s">
        <v>491</v>
      </c>
      <c r="E46" s="13">
        <v>46257</v>
      </c>
      <c r="F46" s="33" t="s">
        <v>468</v>
      </c>
      <c r="G46" s="33" t="s">
        <v>83</v>
      </c>
      <c r="H46" s="33"/>
      <c r="I46" s="13">
        <v>46257</v>
      </c>
      <c r="J46" s="40" t="str">
        <f>IF(G46="Pending",IF(E46="","",Masters!$B$21-E46),"")</f>
        <v/>
      </c>
      <c r="K46" s="34" t="str">
        <f t="shared" si="1"/>
        <v>OK</v>
      </c>
      <c r="L46" s="34" t="str">
        <f>IF(G46&lt;&gt;"Pending","",IF(J46="","",IF(J46&gt;Masters!$B$20,"Overdue","Within SLA")))</f>
        <v/>
      </c>
    </row>
    <row r="47" spans="1:12" x14ac:dyDescent="0.3">
      <c r="A47" s="33" t="s">
        <v>535</v>
      </c>
      <c r="B47" s="33" t="s">
        <v>110</v>
      </c>
      <c r="C47" s="33" t="s">
        <v>149</v>
      </c>
      <c r="D47" s="33" t="s">
        <v>504</v>
      </c>
      <c r="E47" s="13">
        <v>46257</v>
      </c>
      <c r="F47" s="33" t="s">
        <v>468</v>
      </c>
      <c r="G47" s="33" t="s">
        <v>83</v>
      </c>
      <c r="H47" s="33"/>
      <c r="I47" s="13">
        <v>46259</v>
      </c>
      <c r="J47" s="40" t="str">
        <f>IF(G47="Pending",IF(E47="","",Masters!$B$21-E47),"")</f>
        <v/>
      </c>
      <c r="K47" s="34" t="str">
        <f t="shared" si="1"/>
        <v>OK</v>
      </c>
      <c r="L47" s="34" t="str">
        <f>IF(G47&lt;&gt;"Pending","",IF(J47="","",IF(J47&gt;Masters!$B$20,"Overdue","Within SLA")))</f>
        <v/>
      </c>
    </row>
    <row r="48" spans="1:12" x14ac:dyDescent="0.3">
      <c r="A48" s="33" t="s">
        <v>536</v>
      </c>
      <c r="B48" s="33" t="s">
        <v>110</v>
      </c>
      <c r="C48" s="33" t="s">
        <v>127</v>
      </c>
      <c r="D48" s="33" t="s">
        <v>491</v>
      </c>
      <c r="E48" s="13">
        <v>46258</v>
      </c>
      <c r="F48" s="33" t="s">
        <v>468</v>
      </c>
      <c r="G48" s="33" t="s">
        <v>83</v>
      </c>
      <c r="H48" s="33"/>
      <c r="I48" s="13">
        <v>46259</v>
      </c>
      <c r="J48" s="40" t="str">
        <f>IF(G48="Pending",IF(E48="","",Masters!$B$21-E48),"")</f>
        <v/>
      </c>
      <c r="K48" s="34" t="str">
        <f t="shared" si="1"/>
        <v>OK</v>
      </c>
      <c r="L48" s="34" t="str">
        <f>IF(G48&lt;&gt;"Pending","",IF(J48="","",IF(J48&gt;Masters!$B$20,"Overdue","Within SLA")))</f>
        <v/>
      </c>
    </row>
    <row r="49" spans="1:12" x14ac:dyDescent="0.3">
      <c r="A49" s="33" t="s">
        <v>537</v>
      </c>
      <c r="B49" s="33" t="s">
        <v>461</v>
      </c>
      <c r="C49" s="33" t="s">
        <v>507</v>
      </c>
      <c r="D49" s="33" t="s">
        <v>467</v>
      </c>
      <c r="E49" s="13">
        <v>46258</v>
      </c>
      <c r="F49" s="33"/>
      <c r="G49" s="33" t="s">
        <v>84</v>
      </c>
      <c r="H49" s="33"/>
      <c r="I49" s="13"/>
      <c r="J49" s="40">
        <f ca="1">IF(G49="Pending",IF(E49="","",Masters!$B$21-E49),"")</f>
        <v>26</v>
      </c>
      <c r="K49" s="34" t="str">
        <f t="shared" si="1"/>
        <v>OK</v>
      </c>
      <c r="L49" s="34" t="str">
        <f ca="1">IF(G49&lt;&gt;"Pending","",IF(J49="","",IF(J49&gt;Masters!$B$20,"Overdue","Within SLA")))</f>
        <v>Overdue</v>
      </c>
    </row>
    <row r="50" spans="1:12" x14ac:dyDescent="0.3">
      <c r="A50" s="33" t="s">
        <v>538</v>
      </c>
      <c r="B50" s="33" t="s">
        <v>461</v>
      </c>
      <c r="C50" s="33" t="s">
        <v>539</v>
      </c>
      <c r="D50" s="33" t="s">
        <v>463</v>
      </c>
      <c r="E50" s="13">
        <v>46258</v>
      </c>
      <c r="F50" s="33" t="s">
        <v>475</v>
      </c>
      <c r="G50" s="33" t="s">
        <v>83</v>
      </c>
      <c r="H50" s="33"/>
      <c r="I50" s="13">
        <v>46258</v>
      </c>
      <c r="J50" s="40" t="str">
        <f>IF(G50="Pending",IF(E50="","",Masters!$B$21-E50),"")</f>
        <v/>
      </c>
      <c r="K50" s="34" t="str">
        <f t="shared" si="1"/>
        <v>Duplicate Ref</v>
      </c>
      <c r="L50" s="34" t="str">
        <f>IF(G50&lt;&gt;"Pending","",IF(J50="","",IF(J50&gt;Masters!$B$20,"Overdue","Within SLA")))</f>
        <v/>
      </c>
    </row>
    <row r="51" spans="1:12" x14ac:dyDescent="0.3">
      <c r="A51" s="33" t="s">
        <v>540</v>
      </c>
      <c r="B51" s="33" t="s">
        <v>461</v>
      </c>
      <c r="C51" s="33" t="s">
        <v>485</v>
      </c>
      <c r="D51" s="33" t="s">
        <v>474</v>
      </c>
      <c r="E51" s="13">
        <v>46258</v>
      </c>
      <c r="F51" s="33"/>
      <c r="G51" s="33" t="s">
        <v>84</v>
      </c>
      <c r="H51" s="33"/>
      <c r="I51" s="13"/>
      <c r="J51" s="40">
        <f ca="1">IF(G51="Pending",IF(E51="","",Masters!$B$21-E51),"")</f>
        <v>26</v>
      </c>
      <c r="K51" s="34" t="str">
        <f t="shared" si="1"/>
        <v>OK</v>
      </c>
      <c r="L51" s="34" t="str">
        <f ca="1">IF(G51&lt;&gt;"Pending","",IF(J51="","",IF(J51&gt;Masters!$B$20,"Overdue","Within SLA")))</f>
        <v>Overdue</v>
      </c>
    </row>
    <row r="52" spans="1:12" x14ac:dyDescent="0.3">
      <c r="A52" s="33" t="s">
        <v>541</v>
      </c>
      <c r="B52" s="33" t="s">
        <v>110</v>
      </c>
      <c r="C52" s="33" t="s">
        <v>146</v>
      </c>
      <c r="D52" s="33" t="s">
        <v>491</v>
      </c>
      <c r="E52" s="13">
        <v>46259</v>
      </c>
      <c r="F52" s="33" t="s">
        <v>464</v>
      </c>
      <c r="G52" s="33" t="s">
        <v>83</v>
      </c>
      <c r="H52" s="33"/>
      <c r="I52" s="13">
        <v>46263</v>
      </c>
      <c r="J52" s="40" t="str">
        <f>IF(G52="Pending",IF(E52="","",Masters!$B$21-E52),"")</f>
        <v/>
      </c>
      <c r="K52" s="34" t="str">
        <f t="shared" si="1"/>
        <v>OK</v>
      </c>
      <c r="L52" s="34" t="str">
        <f>IF(G52&lt;&gt;"Pending","",IF(J52="","",IF(J52&gt;Masters!$B$20,"Overdue","Within SLA")))</f>
        <v/>
      </c>
    </row>
    <row r="53" spans="1:12" x14ac:dyDescent="0.3">
      <c r="A53" s="33" t="s">
        <v>542</v>
      </c>
      <c r="B53" s="33" t="s">
        <v>110</v>
      </c>
      <c r="C53" s="33" t="s">
        <v>156</v>
      </c>
      <c r="D53" s="33" t="s">
        <v>483</v>
      </c>
      <c r="E53" s="13">
        <v>46259</v>
      </c>
      <c r="F53" s="33" t="s">
        <v>475</v>
      </c>
      <c r="G53" s="33" t="s">
        <v>85</v>
      </c>
      <c r="H53" s="33"/>
      <c r="I53" s="13"/>
      <c r="J53" s="40" t="str">
        <f>IF(G53="Pending",IF(E53="","",Masters!$B$21-E53),"")</f>
        <v/>
      </c>
      <c r="K53" s="34" t="str">
        <f t="shared" si="1"/>
        <v>Remark Needed</v>
      </c>
      <c r="L53" s="34" t="str">
        <f>IF(G53&lt;&gt;"Pending","",IF(J53="","",IF(J53&gt;Masters!$B$20,"Overdue","Within SLA")))</f>
        <v/>
      </c>
    </row>
    <row r="54" spans="1:12" x14ac:dyDescent="0.3">
      <c r="A54" s="33" t="s">
        <v>543</v>
      </c>
      <c r="B54" s="33" t="s">
        <v>461</v>
      </c>
      <c r="C54" s="33" t="s">
        <v>544</v>
      </c>
      <c r="D54" s="33" t="s">
        <v>463</v>
      </c>
      <c r="E54" s="13">
        <v>46260</v>
      </c>
      <c r="F54" s="33" t="s">
        <v>475</v>
      </c>
      <c r="G54" s="33" t="s">
        <v>83</v>
      </c>
      <c r="H54" s="33"/>
      <c r="I54" s="13">
        <v>46260</v>
      </c>
      <c r="J54" s="40" t="str">
        <f>IF(G54="Pending",IF(E54="","",Masters!$B$21-E54),"")</f>
        <v/>
      </c>
      <c r="K54" s="34" t="str">
        <f t="shared" si="1"/>
        <v>OK</v>
      </c>
      <c r="L54" s="34" t="str">
        <f>IF(G54&lt;&gt;"Pending","",IF(J54="","",IF(J54&gt;Masters!$B$20,"Overdue","Within SLA")))</f>
        <v/>
      </c>
    </row>
    <row r="55" spans="1:12" x14ac:dyDescent="0.3">
      <c r="A55" s="33" t="s">
        <v>545</v>
      </c>
      <c r="B55" s="33" t="s">
        <v>110</v>
      </c>
      <c r="C55" s="33" t="s">
        <v>180</v>
      </c>
      <c r="D55" s="33" t="s">
        <v>504</v>
      </c>
      <c r="E55" s="13">
        <v>46260</v>
      </c>
      <c r="F55" s="33"/>
      <c r="G55" s="33" t="s">
        <v>84</v>
      </c>
      <c r="H55" s="33"/>
      <c r="I55" s="13"/>
      <c r="J55" s="40">
        <f ca="1">IF(G55="Pending",IF(E55="","",Masters!$B$21-E55),"")</f>
        <v>24</v>
      </c>
      <c r="K55" s="34" t="str">
        <f t="shared" si="1"/>
        <v>OK</v>
      </c>
      <c r="L55" s="34" t="str">
        <f ca="1">IF(G55&lt;&gt;"Pending","",IF(J55="","",IF(J55&gt;Masters!$B$20,"Overdue","Within SLA")))</f>
        <v>Overdue</v>
      </c>
    </row>
    <row r="56" spans="1:12" x14ac:dyDescent="0.3">
      <c r="A56" s="33" t="s">
        <v>546</v>
      </c>
      <c r="B56" s="33" t="s">
        <v>461</v>
      </c>
      <c r="C56" s="33" t="s">
        <v>515</v>
      </c>
      <c r="D56" s="33" t="s">
        <v>474</v>
      </c>
      <c r="E56" s="13">
        <v>46260</v>
      </c>
      <c r="F56" s="33"/>
      <c r="G56" s="33" t="s">
        <v>84</v>
      </c>
      <c r="H56" s="33"/>
      <c r="I56" s="13"/>
      <c r="J56" s="40">
        <f ca="1">IF(G56="Pending",IF(E56="","",Masters!$B$21-E56),"")</f>
        <v>24</v>
      </c>
      <c r="K56" s="34" t="str">
        <f t="shared" si="1"/>
        <v>OK</v>
      </c>
      <c r="L56" s="34" t="str">
        <f ca="1">IF(G56&lt;&gt;"Pending","",IF(J56="","",IF(J56&gt;Masters!$B$20,"Overdue","Within SLA")))</f>
        <v>Overdue</v>
      </c>
    </row>
    <row r="57" spans="1:12" x14ac:dyDescent="0.3">
      <c r="A57" s="33" t="s">
        <v>547</v>
      </c>
      <c r="B57" s="33" t="s">
        <v>461</v>
      </c>
      <c r="C57" s="33" t="s">
        <v>515</v>
      </c>
      <c r="D57" s="33" t="s">
        <v>463</v>
      </c>
      <c r="E57" s="13">
        <v>46260</v>
      </c>
      <c r="F57" s="33" t="s">
        <v>464</v>
      </c>
      <c r="G57" s="33" t="s">
        <v>83</v>
      </c>
      <c r="H57" s="33"/>
      <c r="I57" s="13">
        <v>46262</v>
      </c>
      <c r="J57" s="40" t="str">
        <f>IF(G57="Pending",IF(E57="","",Masters!$B$21-E57),"")</f>
        <v/>
      </c>
      <c r="K57" s="34" t="str">
        <f t="shared" si="1"/>
        <v>OK</v>
      </c>
      <c r="L57" s="34" t="str">
        <f>IF(G57&lt;&gt;"Pending","",IF(J57="","",IF(J57&gt;Masters!$B$20,"Overdue","Within SLA")))</f>
        <v/>
      </c>
    </row>
    <row r="58" spans="1:12" x14ac:dyDescent="0.3">
      <c r="A58" s="33" t="s">
        <v>548</v>
      </c>
      <c r="B58" s="33" t="s">
        <v>461</v>
      </c>
      <c r="C58" s="33" t="s">
        <v>494</v>
      </c>
      <c r="D58" s="33" t="s">
        <v>474</v>
      </c>
      <c r="E58" s="13">
        <v>46260</v>
      </c>
      <c r="F58" s="33"/>
      <c r="G58" s="33" t="s">
        <v>84</v>
      </c>
      <c r="H58" s="33"/>
      <c r="I58" s="13"/>
      <c r="J58" s="40">
        <f ca="1">IF(G58="Pending",IF(E58="","",Masters!$B$21-E58),"")</f>
        <v>24</v>
      </c>
      <c r="K58" s="34" t="str">
        <f t="shared" si="1"/>
        <v>OK</v>
      </c>
      <c r="L58" s="34" t="str">
        <f ca="1">IF(G58&lt;&gt;"Pending","",IF(J58="","",IF(J58&gt;Masters!$B$20,"Overdue","Within SLA")))</f>
        <v>Overdue</v>
      </c>
    </row>
    <row r="59" spans="1:12" x14ac:dyDescent="0.3">
      <c r="A59" s="33" t="s">
        <v>549</v>
      </c>
      <c r="B59" s="33" t="s">
        <v>110</v>
      </c>
      <c r="C59" s="33" t="s">
        <v>171</v>
      </c>
      <c r="D59" s="33" t="s">
        <v>504</v>
      </c>
      <c r="E59" s="13">
        <v>46260</v>
      </c>
      <c r="F59" s="33" t="s">
        <v>464</v>
      </c>
      <c r="G59" s="33" t="s">
        <v>83</v>
      </c>
      <c r="H59" s="33"/>
      <c r="I59" s="13">
        <v>46263</v>
      </c>
      <c r="J59" s="40" t="str">
        <f>IF(G59="Pending",IF(E59="","",Masters!$B$21-E59),"")</f>
        <v/>
      </c>
      <c r="K59" s="34" t="str">
        <f t="shared" si="1"/>
        <v>OK</v>
      </c>
      <c r="L59" s="34" t="str">
        <f>IF(G59&lt;&gt;"Pending","",IF(J59="","",IF(J59&gt;Masters!$B$20,"Overdue","Within SLA")))</f>
        <v/>
      </c>
    </row>
    <row r="60" spans="1:12" x14ac:dyDescent="0.3">
      <c r="A60" s="33" t="s">
        <v>550</v>
      </c>
      <c r="B60" s="33" t="s">
        <v>461</v>
      </c>
      <c r="C60" s="33" t="s">
        <v>511</v>
      </c>
      <c r="D60" s="33" t="s">
        <v>504</v>
      </c>
      <c r="E60" s="13">
        <v>46260</v>
      </c>
      <c r="F60" s="33" t="s">
        <v>464</v>
      </c>
      <c r="G60" s="33" t="s">
        <v>83</v>
      </c>
      <c r="H60" s="33"/>
      <c r="I60" s="13">
        <v>46263</v>
      </c>
      <c r="J60" s="40" t="str">
        <f>IF(G60="Pending",IF(E60="","",Masters!$B$21-E60),"")</f>
        <v/>
      </c>
      <c r="K60" s="34" t="str">
        <f t="shared" si="1"/>
        <v>OK</v>
      </c>
      <c r="L60" s="34" t="str">
        <f>IF(G60&lt;&gt;"Pending","",IF(J60="","",IF(J60&gt;Masters!$B$20,"Overdue","Within SLA")))</f>
        <v/>
      </c>
    </row>
    <row r="61" spans="1:12" x14ac:dyDescent="0.3">
      <c r="A61" s="33" t="s">
        <v>551</v>
      </c>
      <c r="B61" s="33" t="s">
        <v>110</v>
      </c>
      <c r="C61" s="33" t="s">
        <v>167</v>
      </c>
      <c r="D61" s="33" t="s">
        <v>477</v>
      </c>
      <c r="E61" s="13">
        <v>46260</v>
      </c>
      <c r="F61" s="33" t="s">
        <v>475</v>
      </c>
      <c r="G61" s="33" t="s">
        <v>83</v>
      </c>
      <c r="H61" s="33"/>
      <c r="I61" s="13">
        <v>46264</v>
      </c>
      <c r="J61" s="40" t="str">
        <f>IF(G61="Pending",IF(E61="","",Masters!$B$21-E61),"")</f>
        <v/>
      </c>
      <c r="K61" s="34" t="str">
        <f t="shared" si="1"/>
        <v>OK</v>
      </c>
      <c r="L61" s="34" t="str">
        <f>IF(G61&lt;&gt;"Pending","",IF(J61="","",IF(J61&gt;Masters!$B$20,"Overdue","Within SLA")))</f>
        <v/>
      </c>
    </row>
    <row r="62" spans="1:12" x14ac:dyDescent="0.3">
      <c r="A62" s="33" t="s">
        <v>552</v>
      </c>
      <c r="B62" s="33" t="s">
        <v>110</v>
      </c>
      <c r="C62" s="33"/>
      <c r="D62" s="33" t="s">
        <v>477</v>
      </c>
      <c r="E62" s="13">
        <v>46261</v>
      </c>
      <c r="F62" s="33" t="s">
        <v>468</v>
      </c>
      <c r="G62" s="33" t="s">
        <v>83</v>
      </c>
      <c r="H62" s="33"/>
      <c r="I62" s="13">
        <v>46264</v>
      </c>
      <c r="J62" s="40" t="str">
        <f>IF(G62="Pending",IF(E62="","",Masters!$B$21-E62),"")</f>
        <v/>
      </c>
      <c r="K62" s="34" t="str">
        <f t="shared" si="1"/>
        <v>Missing Info</v>
      </c>
      <c r="L62" s="34" t="str">
        <f>IF(G62&lt;&gt;"Pending","",IF(J62="","",IF(J62&gt;Masters!$B$20,"Overdue","Within SLA")))</f>
        <v/>
      </c>
    </row>
    <row r="63" spans="1:12" x14ac:dyDescent="0.3">
      <c r="A63" s="33" t="s">
        <v>553</v>
      </c>
      <c r="B63" s="33" t="s">
        <v>110</v>
      </c>
      <c r="C63" s="33" t="s">
        <v>149</v>
      </c>
      <c r="D63" s="33" t="s">
        <v>483</v>
      </c>
      <c r="E63" s="13">
        <v>46261</v>
      </c>
      <c r="F63" s="33" t="s">
        <v>468</v>
      </c>
      <c r="G63" s="33" t="s">
        <v>83</v>
      </c>
      <c r="H63" s="33"/>
      <c r="I63" s="13">
        <v>46265</v>
      </c>
      <c r="J63" s="40" t="str">
        <f>IF(G63="Pending",IF(E63="","",Masters!$B$21-E63),"")</f>
        <v/>
      </c>
      <c r="K63" s="34" t="str">
        <f t="shared" si="1"/>
        <v>OK</v>
      </c>
      <c r="L63" s="34" t="str">
        <f>IF(G63&lt;&gt;"Pending","",IF(J63="","",IF(J63&gt;Masters!$B$20,"Overdue","Within SLA")))</f>
        <v/>
      </c>
    </row>
    <row r="64" spans="1:12" x14ac:dyDescent="0.3">
      <c r="A64" s="33" t="s">
        <v>554</v>
      </c>
      <c r="B64" s="33" t="s">
        <v>461</v>
      </c>
      <c r="C64" s="33" t="s">
        <v>471</v>
      </c>
      <c r="D64" s="33" t="s">
        <v>504</v>
      </c>
      <c r="E64" s="13">
        <v>46261</v>
      </c>
      <c r="F64" s="33" t="s">
        <v>475</v>
      </c>
      <c r="G64" s="33" t="s">
        <v>83</v>
      </c>
      <c r="H64" s="33"/>
      <c r="I64" s="13">
        <v>46265</v>
      </c>
      <c r="J64" s="40" t="str">
        <f>IF(G64="Pending",IF(E64="","",Masters!$B$21-E64),"")</f>
        <v/>
      </c>
      <c r="K64" s="34" t="str">
        <f t="shared" si="1"/>
        <v>OK</v>
      </c>
      <c r="L64" s="34" t="str">
        <f>IF(G64&lt;&gt;"Pending","",IF(J64="","",IF(J64&gt;Masters!$B$20,"Overdue","Within SLA")))</f>
        <v/>
      </c>
    </row>
    <row r="65" spans="1:12" x14ac:dyDescent="0.3">
      <c r="A65" s="33" t="s">
        <v>538</v>
      </c>
      <c r="B65" s="33" t="s">
        <v>461</v>
      </c>
      <c r="C65" s="33" t="s">
        <v>544</v>
      </c>
      <c r="D65" s="33" t="s">
        <v>504</v>
      </c>
      <c r="E65" s="13">
        <v>46262</v>
      </c>
      <c r="F65" s="33" t="s">
        <v>475</v>
      </c>
      <c r="G65" s="33" t="s">
        <v>83</v>
      </c>
      <c r="H65" s="33"/>
      <c r="I65" s="13">
        <v>46264</v>
      </c>
      <c r="J65" s="40" t="str">
        <f>IF(G65="Pending",IF(E65="","",Masters!$B$21-E65),"")</f>
        <v/>
      </c>
      <c r="K65" s="34" t="str">
        <f t="shared" si="1"/>
        <v>Duplicate Ref</v>
      </c>
      <c r="L65" s="34" t="str">
        <f>IF(G65&lt;&gt;"Pending","",IF(J65="","",IF(J65&gt;Masters!$B$20,"Overdue","Within SLA")))</f>
        <v/>
      </c>
    </row>
    <row r="66" spans="1:12" x14ac:dyDescent="0.3">
      <c r="A66" s="33" t="s">
        <v>555</v>
      </c>
      <c r="B66" s="33" t="s">
        <v>461</v>
      </c>
      <c r="C66" s="33" t="s">
        <v>556</v>
      </c>
      <c r="D66" s="33" t="s">
        <v>463</v>
      </c>
      <c r="E66" s="13">
        <v>46262</v>
      </c>
      <c r="F66" s="33" t="s">
        <v>468</v>
      </c>
      <c r="G66" s="33" t="s">
        <v>83</v>
      </c>
      <c r="H66" s="33"/>
      <c r="I66" s="13">
        <v>46264</v>
      </c>
      <c r="J66" s="40" t="str">
        <f>IF(G66="Pending",IF(E66="","",Masters!$B$21-E66),"")</f>
        <v/>
      </c>
      <c r="K66" s="34" t="str">
        <f t="shared" ref="K66:K97" si="2">IF(A66="","Missing Ref",IF(COUNTIF($A$2:$A$500,A66)&gt;1,"Duplicate Ref",IF(OR(B66="",C66="",D66="",E66="",G66=""),"Missing Info",IF(AND(G66="Discrepancy",H66=""),"Remark Needed",IF(AND(G66="Verified",I66=""),"Verified Date Needed","OK")))))</f>
        <v>OK</v>
      </c>
      <c r="L66" s="34" t="str">
        <f>IF(G66&lt;&gt;"Pending","",IF(J66="","",IF(J66&gt;Masters!$B$20,"Overdue","Within SLA")))</f>
        <v/>
      </c>
    </row>
    <row r="67" spans="1:12" x14ac:dyDescent="0.3">
      <c r="A67" s="33" t="s">
        <v>557</v>
      </c>
      <c r="B67" s="33" t="s">
        <v>110</v>
      </c>
      <c r="C67" s="33" t="s">
        <v>142</v>
      </c>
      <c r="D67" s="33" t="s">
        <v>504</v>
      </c>
      <c r="E67" s="13">
        <v>46263</v>
      </c>
      <c r="F67" s="33" t="s">
        <v>475</v>
      </c>
      <c r="G67" s="33" t="s">
        <v>83</v>
      </c>
      <c r="H67" s="33"/>
      <c r="I67" s="13">
        <v>46267</v>
      </c>
      <c r="J67" s="40" t="str">
        <f>IF(G67="Pending",IF(E67="","",Masters!$B$21-E67),"")</f>
        <v/>
      </c>
      <c r="K67" s="34" t="str">
        <f t="shared" si="2"/>
        <v>OK</v>
      </c>
      <c r="L67" s="34" t="str">
        <f>IF(G67&lt;&gt;"Pending","",IF(J67="","",IF(J67&gt;Masters!$B$20,"Overdue","Within SLA")))</f>
        <v/>
      </c>
    </row>
    <row r="68" spans="1:12" x14ac:dyDescent="0.3">
      <c r="A68" s="33" t="s">
        <v>558</v>
      </c>
      <c r="B68" s="33" t="s">
        <v>461</v>
      </c>
      <c r="C68" s="33" t="s">
        <v>539</v>
      </c>
      <c r="D68" s="33" t="s">
        <v>474</v>
      </c>
      <c r="E68" s="13">
        <v>46263</v>
      </c>
      <c r="F68" s="33" t="s">
        <v>464</v>
      </c>
      <c r="G68" s="33" t="s">
        <v>85</v>
      </c>
      <c r="H68" s="33"/>
      <c r="I68" s="13"/>
      <c r="J68" s="40" t="str">
        <f>IF(G68="Pending",IF(E68="","",Masters!$B$21-E68),"")</f>
        <v/>
      </c>
      <c r="K68" s="34" t="str">
        <f t="shared" si="2"/>
        <v>Remark Needed</v>
      </c>
      <c r="L68" s="34" t="str">
        <f>IF(G68&lt;&gt;"Pending","",IF(J68="","",IF(J68&gt;Masters!$B$20,"Overdue","Within SLA")))</f>
        <v/>
      </c>
    </row>
    <row r="69" spans="1:12" x14ac:dyDescent="0.3">
      <c r="A69" s="33" t="s">
        <v>559</v>
      </c>
      <c r="B69" s="33" t="s">
        <v>110</v>
      </c>
      <c r="C69" s="33" t="s">
        <v>127</v>
      </c>
      <c r="D69" s="33" t="s">
        <v>483</v>
      </c>
      <c r="E69" s="13">
        <v>46263</v>
      </c>
      <c r="F69" s="33"/>
      <c r="G69" s="33" t="s">
        <v>84</v>
      </c>
      <c r="H69" s="33"/>
      <c r="I69" s="13"/>
      <c r="J69" s="40">
        <f ca="1">IF(G69="Pending",IF(E69="","",Masters!$B$21-E69),"")</f>
        <v>21</v>
      </c>
      <c r="K69" s="34" t="str">
        <f t="shared" si="2"/>
        <v>OK</v>
      </c>
      <c r="L69" s="34" t="str">
        <f ca="1">IF(G69&lt;&gt;"Pending","",IF(J69="","",IF(J69&gt;Masters!$B$20,"Overdue","Within SLA")))</f>
        <v>Overdue</v>
      </c>
    </row>
    <row r="70" spans="1:12" x14ac:dyDescent="0.3">
      <c r="A70" s="33" t="s">
        <v>560</v>
      </c>
      <c r="B70" s="33" t="s">
        <v>461</v>
      </c>
      <c r="C70" s="33" t="s">
        <v>507</v>
      </c>
      <c r="D70" s="33" t="s">
        <v>504</v>
      </c>
      <c r="E70" s="13">
        <v>46264</v>
      </c>
      <c r="F70" s="33" t="s">
        <v>475</v>
      </c>
      <c r="G70" s="33" t="s">
        <v>83</v>
      </c>
      <c r="H70" s="33"/>
      <c r="I70" s="13">
        <v>46266</v>
      </c>
      <c r="J70" s="40" t="str">
        <f>IF(G70="Pending",IF(E70="","",Masters!$B$21-E70),"")</f>
        <v/>
      </c>
      <c r="K70" s="34" t="str">
        <f t="shared" si="2"/>
        <v>OK</v>
      </c>
      <c r="L70" s="34" t="str">
        <f>IF(G70&lt;&gt;"Pending","",IF(J70="","",IF(J70&gt;Masters!$B$20,"Overdue","Within SLA")))</f>
        <v/>
      </c>
    </row>
    <row r="71" spans="1:12" x14ac:dyDescent="0.3">
      <c r="A71" s="33" t="s">
        <v>561</v>
      </c>
      <c r="B71" s="33" t="s">
        <v>461</v>
      </c>
      <c r="C71" s="33" t="s">
        <v>500</v>
      </c>
      <c r="D71" s="33" t="s">
        <v>504</v>
      </c>
      <c r="E71" s="13">
        <v>46265</v>
      </c>
      <c r="F71" s="33" t="s">
        <v>475</v>
      </c>
      <c r="G71" s="33" t="s">
        <v>83</v>
      </c>
      <c r="H71" s="33"/>
      <c r="I71" s="13"/>
      <c r="J71" s="40" t="str">
        <f>IF(G71="Pending",IF(E71="","",Masters!$B$21-E71),"")</f>
        <v/>
      </c>
      <c r="K71" s="34" t="str">
        <f t="shared" si="2"/>
        <v>Verified Date Needed</v>
      </c>
      <c r="L71" s="34" t="str">
        <f>IF(G71&lt;&gt;"Pending","",IF(J71="","",IF(J71&gt;Masters!$B$20,"Overdue","Within SLA")))</f>
        <v/>
      </c>
    </row>
    <row r="72" spans="1:12" x14ac:dyDescent="0.3">
      <c r="A72" s="33" t="s">
        <v>562</v>
      </c>
      <c r="B72" s="33" t="s">
        <v>461</v>
      </c>
      <c r="C72" s="33" t="s">
        <v>511</v>
      </c>
      <c r="D72" s="33" t="s">
        <v>472</v>
      </c>
      <c r="E72" s="13">
        <v>46265</v>
      </c>
      <c r="F72" s="33" t="s">
        <v>468</v>
      </c>
      <c r="G72" s="33" t="s">
        <v>85</v>
      </c>
      <c r="H72" s="33" t="s">
        <v>501</v>
      </c>
      <c r="I72" s="13"/>
      <c r="J72" s="40" t="str">
        <f>IF(G72="Pending",IF(E72="","",Masters!$B$21-E72),"")</f>
        <v/>
      </c>
      <c r="K72" s="34" t="str">
        <f t="shared" si="2"/>
        <v>OK</v>
      </c>
      <c r="L72" s="34" t="str">
        <f>IF(G72&lt;&gt;"Pending","",IF(J72="","",IF(J72&gt;Masters!$B$20,"Overdue","Within SLA")))</f>
        <v/>
      </c>
    </row>
    <row r="73" spans="1:12" x14ac:dyDescent="0.3">
      <c r="A73" s="33" t="s">
        <v>563</v>
      </c>
      <c r="B73" s="33" t="s">
        <v>110</v>
      </c>
      <c r="C73" s="33" t="s">
        <v>142</v>
      </c>
      <c r="D73" s="33" t="s">
        <v>477</v>
      </c>
      <c r="E73" s="13">
        <v>46266</v>
      </c>
      <c r="F73" s="33" t="s">
        <v>464</v>
      </c>
      <c r="G73" s="33" t="s">
        <v>83</v>
      </c>
      <c r="H73" s="33"/>
      <c r="I73" s="13">
        <v>46267</v>
      </c>
      <c r="J73" s="40" t="str">
        <f>IF(G73="Pending",IF(E73="","",Masters!$B$21-E73),"")</f>
        <v/>
      </c>
      <c r="K73" s="34" t="str">
        <f t="shared" si="2"/>
        <v>OK</v>
      </c>
      <c r="L73" s="34" t="str">
        <f>IF(G73&lt;&gt;"Pending","",IF(J73="","",IF(J73&gt;Masters!$B$20,"Overdue","Within SLA")))</f>
        <v/>
      </c>
    </row>
    <row r="74" spans="1:12" x14ac:dyDescent="0.3">
      <c r="A74" s="33" t="s">
        <v>564</v>
      </c>
      <c r="B74" s="33" t="s">
        <v>461</v>
      </c>
      <c r="C74" s="33" t="s">
        <v>539</v>
      </c>
      <c r="D74" s="33" t="s">
        <v>504</v>
      </c>
      <c r="E74" s="13">
        <v>46266</v>
      </c>
      <c r="F74" s="33" t="s">
        <v>475</v>
      </c>
      <c r="G74" s="33" t="s">
        <v>85</v>
      </c>
      <c r="H74" s="33"/>
      <c r="I74" s="13"/>
      <c r="J74" s="40" t="str">
        <f>IF(G74="Pending",IF(E74="","",Masters!$B$21-E74),"")</f>
        <v/>
      </c>
      <c r="K74" s="34" t="str">
        <f t="shared" si="2"/>
        <v>Remark Needed</v>
      </c>
      <c r="L74" s="34" t="str">
        <f>IF(G74&lt;&gt;"Pending","",IF(J74="","",IF(J74&gt;Masters!$B$20,"Overdue","Within SLA")))</f>
        <v/>
      </c>
    </row>
    <row r="75" spans="1:12" x14ac:dyDescent="0.3">
      <c r="A75" s="33" t="s">
        <v>565</v>
      </c>
      <c r="B75" s="33" t="s">
        <v>461</v>
      </c>
      <c r="C75" s="33" t="s">
        <v>566</v>
      </c>
      <c r="D75" s="33" t="s">
        <v>472</v>
      </c>
      <c r="E75" s="13">
        <v>46266</v>
      </c>
      <c r="F75" s="33" t="s">
        <v>475</v>
      </c>
      <c r="G75" s="33" t="s">
        <v>83</v>
      </c>
      <c r="H75" s="33"/>
      <c r="I75" s="13">
        <v>46270</v>
      </c>
      <c r="J75" s="40" t="str">
        <f>IF(G75="Pending",IF(E75="","",Masters!$B$21-E75),"")</f>
        <v/>
      </c>
      <c r="K75" s="34" t="str">
        <f t="shared" si="2"/>
        <v>OK</v>
      </c>
      <c r="L75" s="34" t="str">
        <f>IF(G75&lt;&gt;"Pending","",IF(J75="","",IF(J75&gt;Masters!$B$20,"Overdue","Within SLA")))</f>
        <v/>
      </c>
    </row>
    <row r="76" spans="1:12" x14ac:dyDescent="0.3">
      <c r="A76" s="33" t="s">
        <v>567</v>
      </c>
      <c r="B76" s="33" t="s">
        <v>461</v>
      </c>
      <c r="C76" s="33" t="s">
        <v>479</v>
      </c>
      <c r="D76" s="33" t="s">
        <v>474</v>
      </c>
      <c r="E76" s="13">
        <v>46267</v>
      </c>
      <c r="F76" s="33" t="s">
        <v>468</v>
      </c>
      <c r="G76" s="33" t="s">
        <v>83</v>
      </c>
      <c r="H76" s="33"/>
      <c r="I76" s="13">
        <v>46269</v>
      </c>
      <c r="J76" s="40" t="str">
        <f>IF(G76="Pending",IF(E76="","",Masters!$B$21-E76),"")</f>
        <v/>
      </c>
      <c r="K76" s="34" t="str">
        <f t="shared" si="2"/>
        <v>OK</v>
      </c>
      <c r="L76" s="34" t="str">
        <f>IF(G76&lt;&gt;"Pending","",IF(J76="","",IF(J76&gt;Masters!$B$20,"Overdue","Within SLA")))</f>
        <v/>
      </c>
    </row>
    <row r="77" spans="1:12" x14ac:dyDescent="0.3">
      <c r="A77" s="33" t="s">
        <v>568</v>
      </c>
      <c r="B77" s="33" t="s">
        <v>461</v>
      </c>
      <c r="C77" s="33" t="s">
        <v>544</v>
      </c>
      <c r="D77" s="33" t="s">
        <v>474</v>
      </c>
      <c r="E77" s="13">
        <v>46267</v>
      </c>
      <c r="F77" s="33" t="s">
        <v>464</v>
      </c>
      <c r="G77" s="33" t="s">
        <v>85</v>
      </c>
      <c r="H77" s="33" t="s">
        <v>569</v>
      </c>
      <c r="I77" s="13"/>
      <c r="J77" s="40" t="str">
        <f>IF(G77="Pending",IF(E77="","",Masters!$B$21-E77),"")</f>
        <v/>
      </c>
      <c r="K77" s="34" t="str">
        <f t="shared" si="2"/>
        <v>OK</v>
      </c>
      <c r="L77" s="34" t="str">
        <f>IF(G77&lt;&gt;"Pending","",IF(J77="","",IF(J77&gt;Masters!$B$20,"Overdue","Within SLA")))</f>
        <v/>
      </c>
    </row>
    <row r="78" spans="1:12" x14ac:dyDescent="0.3">
      <c r="A78" s="33" t="s">
        <v>570</v>
      </c>
      <c r="B78" s="33" t="s">
        <v>110</v>
      </c>
      <c r="C78" s="33" t="s">
        <v>127</v>
      </c>
      <c r="D78" s="33"/>
      <c r="E78" s="13">
        <v>46268</v>
      </c>
      <c r="F78" s="33" t="s">
        <v>475</v>
      </c>
      <c r="G78" s="33" t="s">
        <v>83</v>
      </c>
      <c r="H78" s="33"/>
      <c r="I78" s="13">
        <v>46272</v>
      </c>
      <c r="J78" s="40" t="str">
        <f>IF(G78="Pending",IF(E78="","",Masters!$B$21-E78),"")</f>
        <v/>
      </c>
      <c r="K78" s="34" t="str">
        <f t="shared" si="2"/>
        <v>Missing Info</v>
      </c>
      <c r="L78" s="34" t="str">
        <f>IF(G78&lt;&gt;"Pending","",IF(J78="","",IF(J78&gt;Masters!$B$20,"Overdue","Within SLA")))</f>
        <v/>
      </c>
    </row>
    <row r="79" spans="1:12" x14ac:dyDescent="0.3">
      <c r="A79" s="33" t="s">
        <v>571</v>
      </c>
      <c r="B79" s="33" t="s">
        <v>461</v>
      </c>
      <c r="C79" s="33" t="s">
        <v>513</v>
      </c>
      <c r="D79" s="33" t="s">
        <v>463</v>
      </c>
      <c r="E79" s="13">
        <v>46268</v>
      </c>
      <c r="F79" s="33" t="s">
        <v>475</v>
      </c>
      <c r="G79" s="33" t="s">
        <v>83</v>
      </c>
      <c r="H79" s="33"/>
      <c r="I79" s="13">
        <v>46271</v>
      </c>
      <c r="J79" s="40" t="str">
        <f>IF(G79="Pending",IF(E79="","",Masters!$B$21-E79),"")</f>
        <v/>
      </c>
      <c r="K79" s="34" t="str">
        <f t="shared" si="2"/>
        <v>OK</v>
      </c>
      <c r="L79" s="34" t="str">
        <f>IF(G79&lt;&gt;"Pending","",IF(J79="","",IF(J79&gt;Masters!$B$20,"Overdue","Within SLA")))</f>
        <v/>
      </c>
    </row>
    <row r="80" spans="1:12" x14ac:dyDescent="0.3">
      <c r="A80" s="33" t="s">
        <v>572</v>
      </c>
      <c r="B80" s="33" t="s">
        <v>461</v>
      </c>
      <c r="C80" s="33" t="s">
        <v>494</v>
      </c>
      <c r="D80" s="33" t="s">
        <v>467</v>
      </c>
      <c r="E80" s="13">
        <v>46268</v>
      </c>
      <c r="F80" s="33" t="s">
        <v>464</v>
      </c>
      <c r="G80" s="33" t="s">
        <v>83</v>
      </c>
      <c r="H80" s="33"/>
      <c r="I80" s="13">
        <v>46271</v>
      </c>
      <c r="J80" s="40" t="str">
        <f>IF(G80="Pending",IF(E80="","",Masters!$B$21-E80),"")</f>
        <v/>
      </c>
      <c r="K80" s="34" t="str">
        <f t="shared" si="2"/>
        <v>OK</v>
      </c>
      <c r="L80" s="34" t="str">
        <f>IF(G80&lt;&gt;"Pending","",IF(J80="","",IF(J80&gt;Masters!$B$20,"Overdue","Within SLA")))</f>
        <v/>
      </c>
    </row>
    <row r="81" spans="1:12" x14ac:dyDescent="0.3">
      <c r="A81" s="33" t="s">
        <v>573</v>
      </c>
      <c r="B81" s="33" t="s">
        <v>110</v>
      </c>
      <c r="C81" s="33" t="s">
        <v>167</v>
      </c>
      <c r="D81" s="33" t="s">
        <v>504</v>
      </c>
      <c r="E81" s="13">
        <v>46268</v>
      </c>
      <c r="F81" s="33" t="s">
        <v>464</v>
      </c>
      <c r="G81" s="33" t="s">
        <v>83</v>
      </c>
      <c r="H81" s="33"/>
      <c r="I81" s="13">
        <v>46272</v>
      </c>
      <c r="J81" s="40" t="str">
        <f>IF(G81="Pending",IF(E81="","",Masters!$B$21-E81),"")</f>
        <v/>
      </c>
      <c r="K81" s="34" t="str">
        <f t="shared" si="2"/>
        <v>OK</v>
      </c>
      <c r="L81" s="34" t="str">
        <f>IF(G81&lt;&gt;"Pending","",IF(J81="","",IF(J81&gt;Masters!$B$20,"Overdue","Within SLA")))</f>
        <v/>
      </c>
    </row>
    <row r="82" spans="1:12" x14ac:dyDescent="0.3">
      <c r="A82" s="33" t="s">
        <v>574</v>
      </c>
      <c r="B82" s="33" t="s">
        <v>461</v>
      </c>
      <c r="C82" s="33" t="s">
        <v>515</v>
      </c>
      <c r="D82" s="33" t="s">
        <v>467</v>
      </c>
      <c r="E82" s="13">
        <v>46269</v>
      </c>
      <c r="F82" s="33" t="s">
        <v>475</v>
      </c>
      <c r="G82" s="33" t="s">
        <v>83</v>
      </c>
      <c r="H82" s="33"/>
      <c r="I82" s="13">
        <v>46272</v>
      </c>
      <c r="J82" s="40" t="str">
        <f>IF(G82="Pending",IF(E82="","",Masters!$B$21-E82),"")</f>
        <v/>
      </c>
      <c r="K82" s="34" t="str">
        <f t="shared" si="2"/>
        <v>OK</v>
      </c>
      <c r="L82" s="34" t="str">
        <f>IF(G82&lt;&gt;"Pending","",IF(J82="","",IF(J82&gt;Masters!$B$20,"Overdue","Within SLA")))</f>
        <v/>
      </c>
    </row>
    <row r="83" spans="1:12" x14ac:dyDescent="0.3">
      <c r="A83" s="33" t="s">
        <v>575</v>
      </c>
      <c r="B83" s="33" t="s">
        <v>461</v>
      </c>
      <c r="C83" s="33" t="s">
        <v>556</v>
      </c>
      <c r="D83" s="33" t="s">
        <v>474</v>
      </c>
      <c r="E83" s="13">
        <v>46269</v>
      </c>
      <c r="F83" s="33" t="s">
        <v>475</v>
      </c>
      <c r="G83" s="33" t="s">
        <v>83</v>
      </c>
      <c r="H83" s="33"/>
      <c r="I83" s="13">
        <v>46271</v>
      </c>
      <c r="J83" s="40" t="str">
        <f>IF(G83="Pending",IF(E83="","",Masters!$B$21-E83),"")</f>
        <v/>
      </c>
      <c r="K83" s="34" t="str">
        <f t="shared" si="2"/>
        <v>OK</v>
      </c>
      <c r="L83" s="34" t="str">
        <f>IF(G83&lt;&gt;"Pending","",IF(J83="","",IF(J83&gt;Masters!$B$20,"Overdue","Within SLA")))</f>
        <v/>
      </c>
    </row>
    <row r="84" spans="1:12" x14ac:dyDescent="0.3">
      <c r="A84" s="33" t="s">
        <v>576</v>
      </c>
      <c r="B84" s="33" t="s">
        <v>461</v>
      </c>
      <c r="C84" s="33" t="s">
        <v>497</v>
      </c>
      <c r="D84" s="33" t="s">
        <v>467</v>
      </c>
      <c r="E84" s="13">
        <v>46269</v>
      </c>
      <c r="F84" s="33" t="s">
        <v>468</v>
      </c>
      <c r="G84" s="33" t="s">
        <v>83</v>
      </c>
      <c r="H84" s="33"/>
      <c r="I84" s="13">
        <v>46272</v>
      </c>
      <c r="J84" s="40" t="str">
        <f>IF(G84="Pending",IF(E84="","",Masters!$B$21-E84),"")</f>
        <v/>
      </c>
      <c r="K84" s="34" t="str">
        <f t="shared" si="2"/>
        <v>OK</v>
      </c>
      <c r="L84" s="34" t="str">
        <f>IF(G84&lt;&gt;"Pending","",IF(J84="","",IF(J84&gt;Masters!$B$20,"Overdue","Within SLA")))</f>
        <v/>
      </c>
    </row>
    <row r="85" spans="1:12" x14ac:dyDescent="0.3">
      <c r="A85" s="33" t="s">
        <v>577</v>
      </c>
      <c r="B85" s="33" t="s">
        <v>110</v>
      </c>
      <c r="C85" s="33" t="s">
        <v>131</v>
      </c>
      <c r="D85" s="33" t="s">
        <v>483</v>
      </c>
      <c r="E85" s="13">
        <v>46269</v>
      </c>
      <c r="F85" s="33" t="s">
        <v>464</v>
      </c>
      <c r="G85" s="33" t="s">
        <v>85</v>
      </c>
      <c r="H85" s="33" t="s">
        <v>501</v>
      </c>
      <c r="I85" s="13"/>
      <c r="J85" s="40" t="str">
        <f>IF(G85="Pending",IF(E85="","",Masters!$B$21-E85),"")</f>
        <v/>
      </c>
      <c r="K85" s="34" t="str">
        <f t="shared" si="2"/>
        <v>OK</v>
      </c>
      <c r="L85" s="34" t="str">
        <f>IF(G85&lt;&gt;"Pending","",IF(J85="","",IF(J85&gt;Masters!$B$20,"Overdue","Within SLA")))</f>
        <v/>
      </c>
    </row>
    <row r="86" spans="1:12" x14ac:dyDescent="0.3">
      <c r="A86" s="33" t="s">
        <v>578</v>
      </c>
      <c r="B86" s="33" t="s">
        <v>461</v>
      </c>
      <c r="C86" s="33" t="s">
        <v>487</v>
      </c>
      <c r="D86" s="33" t="s">
        <v>504</v>
      </c>
      <c r="E86" s="13">
        <v>46273</v>
      </c>
      <c r="F86" s="33" t="s">
        <v>475</v>
      </c>
      <c r="G86" s="33" t="s">
        <v>83</v>
      </c>
      <c r="H86" s="33"/>
      <c r="I86" s="13">
        <v>46274</v>
      </c>
      <c r="J86" s="40" t="str">
        <f>IF(G86="Pending",IF(E86="","",Masters!$B$21-E86),"")</f>
        <v/>
      </c>
      <c r="K86" s="34" t="str">
        <f t="shared" si="2"/>
        <v>OK</v>
      </c>
      <c r="L86" s="34" t="str">
        <f>IF(G86&lt;&gt;"Pending","",IF(J86="","",IF(J86&gt;Masters!$B$20,"Overdue","Within SLA")))</f>
        <v/>
      </c>
    </row>
    <row r="87" spans="1:12" x14ac:dyDescent="0.3">
      <c r="A87" s="33" t="s">
        <v>579</v>
      </c>
      <c r="B87" s="33" t="s">
        <v>461</v>
      </c>
      <c r="C87" s="33" t="s">
        <v>528</v>
      </c>
      <c r="D87" s="33" t="s">
        <v>474</v>
      </c>
      <c r="E87" s="13">
        <v>46273</v>
      </c>
      <c r="F87" s="33"/>
      <c r="G87" s="33" t="s">
        <v>84</v>
      </c>
      <c r="H87" s="33"/>
      <c r="I87" s="13"/>
      <c r="J87" s="40">
        <f ca="1">IF(G87="Pending",IF(E87="","",Masters!$B$21-E87),"")</f>
        <v>11</v>
      </c>
      <c r="K87" s="34" t="str">
        <f t="shared" si="2"/>
        <v>OK</v>
      </c>
      <c r="L87" s="34" t="str">
        <f ca="1">IF(G87&lt;&gt;"Pending","",IF(J87="","",IF(J87&gt;Masters!$B$20,"Overdue","Within SLA")))</f>
        <v>Overdue</v>
      </c>
    </row>
    <row r="88" spans="1:12" x14ac:dyDescent="0.3">
      <c r="A88" s="33" t="s">
        <v>580</v>
      </c>
      <c r="B88" s="33" t="s">
        <v>461</v>
      </c>
      <c r="C88" s="33" t="s">
        <v>462</v>
      </c>
      <c r="D88" s="33" t="s">
        <v>472</v>
      </c>
      <c r="E88" s="13">
        <v>46273</v>
      </c>
      <c r="F88" s="33" t="s">
        <v>475</v>
      </c>
      <c r="G88" s="33" t="s">
        <v>83</v>
      </c>
      <c r="H88" s="33"/>
      <c r="I88" s="13">
        <v>46273</v>
      </c>
      <c r="J88" s="40" t="str">
        <f>IF(G88="Pending",IF(E88="","",Masters!$B$21-E88),"")</f>
        <v/>
      </c>
      <c r="K88" s="34" t="str">
        <f t="shared" si="2"/>
        <v>OK</v>
      </c>
      <c r="L88" s="34" t="str">
        <f>IF(G88&lt;&gt;"Pending","",IF(J88="","",IF(J88&gt;Masters!$B$20,"Overdue","Within SLA")))</f>
        <v/>
      </c>
    </row>
    <row r="89" spans="1:12" x14ac:dyDescent="0.3">
      <c r="A89" s="33" t="s">
        <v>581</v>
      </c>
      <c r="B89" s="33" t="s">
        <v>461</v>
      </c>
      <c r="C89" s="33" t="s">
        <v>497</v>
      </c>
      <c r="D89" s="33" t="s">
        <v>504</v>
      </c>
      <c r="E89" s="13">
        <v>46273</v>
      </c>
      <c r="F89" s="33" t="s">
        <v>475</v>
      </c>
      <c r="G89" s="33" t="s">
        <v>83</v>
      </c>
      <c r="H89" s="33"/>
      <c r="I89" s="13">
        <v>46277</v>
      </c>
      <c r="J89" s="40" t="str">
        <f>IF(G89="Pending",IF(E89="","",Masters!$B$21-E89),"")</f>
        <v/>
      </c>
      <c r="K89" s="34" t="str">
        <f t="shared" si="2"/>
        <v>OK</v>
      </c>
      <c r="L89" s="34" t="str">
        <f>IF(G89&lt;&gt;"Pending","",IF(J89="","",IF(J89&gt;Masters!$B$20,"Overdue","Within SLA")))</f>
        <v/>
      </c>
    </row>
    <row r="90" spans="1:12" x14ac:dyDescent="0.3">
      <c r="A90" s="33" t="s">
        <v>582</v>
      </c>
      <c r="B90" s="33" t="s">
        <v>461</v>
      </c>
      <c r="C90" s="33" t="s">
        <v>487</v>
      </c>
      <c r="D90" s="33" t="s">
        <v>467</v>
      </c>
      <c r="E90" s="13">
        <v>46274</v>
      </c>
      <c r="F90" s="33"/>
      <c r="G90" s="33" t="s">
        <v>84</v>
      </c>
      <c r="H90" s="33"/>
      <c r="I90" s="13"/>
      <c r="J90" s="40">
        <f ca="1">IF(G90="Pending",IF(E90="","",Masters!$B$21-E90),"")</f>
        <v>10</v>
      </c>
      <c r="K90" s="34" t="str">
        <f t="shared" si="2"/>
        <v>OK</v>
      </c>
      <c r="L90" s="34" t="str">
        <f ca="1">IF(G90&lt;&gt;"Pending","",IF(J90="","",IF(J90&gt;Masters!$B$20,"Overdue","Within SLA")))</f>
        <v>Overdue</v>
      </c>
    </row>
    <row r="91" spans="1:12" x14ac:dyDescent="0.3">
      <c r="A91" s="33" t="s">
        <v>583</v>
      </c>
      <c r="B91" s="33" t="s">
        <v>110</v>
      </c>
      <c r="C91" s="33" t="s">
        <v>180</v>
      </c>
      <c r="D91" s="33" t="s">
        <v>483</v>
      </c>
      <c r="E91" s="13">
        <v>46274</v>
      </c>
      <c r="F91" s="33" t="s">
        <v>464</v>
      </c>
      <c r="G91" s="33" t="s">
        <v>83</v>
      </c>
      <c r="H91" s="33"/>
      <c r="I91" s="13">
        <v>46278</v>
      </c>
      <c r="J91" s="40" t="str">
        <f>IF(G91="Pending",IF(E91="","",Masters!$B$21-E91),"")</f>
        <v/>
      </c>
      <c r="K91" s="34" t="str">
        <f t="shared" si="2"/>
        <v>OK</v>
      </c>
      <c r="L91" s="34" t="str">
        <f>IF(G91&lt;&gt;"Pending","",IF(J91="","",IF(J91&gt;Masters!$B$20,"Overdue","Within SLA")))</f>
        <v/>
      </c>
    </row>
    <row r="92" spans="1:12" x14ac:dyDescent="0.3">
      <c r="A92" s="33" t="s">
        <v>584</v>
      </c>
      <c r="B92" s="33" t="s">
        <v>110</v>
      </c>
      <c r="C92" s="33" t="s">
        <v>142</v>
      </c>
      <c r="D92" s="33" t="s">
        <v>483</v>
      </c>
      <c r="E92" s="13">
        <v>46275</v>
      </c>
      <c r="F92" s="33" t="s">
        <v>464</v>
      </c>
      <c r="G92" s="33" t="s">
        <v>83</v>
      </c>
      <c r="H92" s="33"/>
      <c r="I92" s="13">
        <v>46276</v>
      </c>
      <c r="J92" s="40" t="str">
        <f>IF(G92="Pending",IF(E92="","",Masters!$B$21-E92),"")</f>
        <v/>
      </c>
      <c r="K92" s="34" t="str">
        <f t="shared" si="2"/>
        <v>OK</v>
      </c>
      <c r="L92" s="34" t="str">
        <f>IF(G92&lt;&gt;"Pending","",IF(J92="","",IF(J92&gt;Masters!$B$20,"Overdue","Within SLA")))</f>
        <v/>
      </c>
    </row>
    <row r="93" spans="1:12" x14ac:dyDescent="0.3">
      <c r="A93" s="33" t="s">
        <v>585</v>
      </c>
      <c r="B93" s="33" t="s">
        <v>461</v>
      </c>
      <c r="C93" s="33" t="s">
        <v>500</v>
      </c>
      <c r="D93" s="33" t="s">
        <v>463</v>
      </c>
      <c r="E93" s="13">
        <v>46275</v>
      </c>
      <c r="F93" s="33"/>
      <c r="G93" s="33" t="s">
        <v>84</v>
      </c>
      <c r="H93" s="33"/>
      <c r="I93" s="13"/>
      <c r="J93" s="40">
        <f ca="1">IF(G93="Pending",IF(E93="","",Masters!$B$21-E93),"")</f>
        <v>9</v>
      </c>
      <c r="K93" s="34" t="str">
        <f t="shared" si="2"/>
        <v>OK</v>
      </c>
      <c r="L93" s="34" t="str">
        <f ca="1">IF(G93&lt;&gt;"Pending","",IF(J93="","",IF(J93&gt;Masters!$B$20,"Overdue","Within SLA")))</f>
        <v>Overdue</v>
      </c>
    </row>
    <row r="94" spans="1:12" x14ac:dyDescent="0.3">
      <c r="A94" s="33" t="s">
        <v>586</v>
      </c>
      <c r="B94" s="33" t="s">
        <v>110</v>
      </c>
      <c r="C94" s="33" t="s">
        <v>146</v>
      </c>
      <c r="D94" s="33" t="s">
        <v>504</v>
      </c>
      <c r="E94" s="13">
        <v>46275</v>
      </c>
      <c r="F94" s="33"/>
      <c r="G94" s="33" t="s">
        <v>84</v>
      </c>
      <c r="H94" s="33"/>
      <c r="I94" s="13"/>
      <c r="J94" s="40">
        <f ca="1">IF(G94="Pending",IF(E94="","",Masters!$B$21-E94),"")</f>
        <v>9</v>
      </c>
      <c r="K94" s="34" t="str">
        <f t="shared" si="2"/>
        <v>OK</v>
      </c>
      <c r="L94" s="34" t="str">
        <f ca="1">IF(G94&lt;&gt;"Pending","",IF(J94="","",IF(J94&gt;Masters!$B$20,"Overdue","Within SLA")))</f>
        <v>Overdue</v>
      </c>
    </row>
    <row r="95" spans="1:12" x14ac:dyDescent="0.3">
      <c r="A95" s="33" t="s">
        <v>587</v>
      </c>
      <c r="B95" s="33" t="s">
        <v>461</v>
      </c>
      <c r="C95" s="33" t="s">
        <v>566</v>
      </c>
      <c r="D95" s="33" t="s">
        <v>474</v>
      </c>
      <c r="E95" s="13">
        <v>46275</v>
      </c>
      <c r="F95" s="33"/>
      <c r="G95" s="33" t="s">
        <v>84</v>
      </c>
      <c r="H95" s="33"/>
      <c r="I95" s="13"/>
      <c r="J95" s="40">
        <f ca="1">IF(G95="Pending",IF(E95="","",Masters!$B$21-E95),"")</f>
        <v>9</v>
      </c>
      <c r="K95" s="34" t="str">
        <f t="shared" si="2"/>
        <v>OK</v>
      </c>
      <c r="L95" s="34" t="str">
        <f ca="1">IF(G95&lt;&gt;"Pending","",IF(J95="","",IF(J95&gt;Masters!$B$20,"Overdue","Within SLA")))</f>
        <v>Overdue</v>
      </c>
    </row>
    <row r="96" spans="1:12" x14ac:dyDescent="0.3">
      <c r="A96" s="33" t="s">
        <v>588</v>
      </c>
      <c r="B96" s="33" t="s">
        <v>461</v>
      </c>
      <c r="C96" s="33" t="s">
        <v>479</v>
      </c>
      <c r="D96" s="33" t="s">
        <v>463</v>
      </c>
      <c r="E96" s="13">
        <v>46276</v>
      </c>
      <c r="F96" s="33" t="s">
        <v>468</v>
      </c>
      <c r="G96" s="33" t="s">
        <v>83</v>
      </c>
      <c r="H96" s="33"/>
      <c r="I96" s="13">
        <v>46278</v>
      </c>
      <c r="J96" s="40" t="str">
        <f>IF(G96="Pending",IF(E96="","",Masters!$B$21-E96),"")</f>
        <v/>
      </c>
      <c r="K96" s="34" t="str">
        <f t="shared" si="2"/>
        <v>OK</v>
      </c>
      <c r="L96" s="34" t="str">
        <f>IF(G96&lt;&gt;"Pending","",IF(J96="","",IF(J96&gt;Masters!$B$20,"Overdue","Within SLA")))</f>
        <v/>
      </c>
    </row>
    <row r="97" spans="1:12" x14ac:dyDescent="0.3">
      <c r="A97" s="33" t="s">
        <v>589</v>
      </c>
      <c r="B97" s="33" t="s">
        <v>461</v>
      </c>
      <c r="C97" s="33" t="s">
        <v>485</v>
      </c>
      <c r="D97" s="33" t="s">
        <v>467</v>
      </c>
      <c r="E97" s="13">
        <v>46276</v>
      </c>
      <c r="F97" s="33" t="s">
        <v>468</v>
      </c>
      <c r="G97" s="33" t="s">
        <v>83</v>
      </c>
      <c r="H97" s="33"/>
      <c r="I97" s="13">
        <v>46276</v>
      </c>
      <c r="J97" s="40" t="str">
        <f>IF(G97="Pending",IF(E97="","",Masters!$B$21-E97),"")</f>
        <v/>
      </c>
      <c r="K97" s="34" t="str">
        <f t="shared" si="2"/>
        <v>OK</v>
      </c>
      <c r="L97" s="34" t="str">
        <f>IF(G97&lt;&gt;"Pending","",IF(J97="","",IF(J97&gt;Masters!$B$20,"Overdue","Within SLA")))</f>
        <v/>
      </c>
    </row>
    <row r="98" spans="1:12" x14ac:dyDescent="0.3">
      <c r="A98" s="33" t="s">
        <v>590</v>
      </c>
      <c r="B98" s="33" t="s">
        <v>110</v>
      </c>
      <c r="C98" s="33" t="s">
        <v>146</v>
      </c>
      <c r="D98" s="33" t="s">
        <v>477</v>
      </c>
      <c r="E98" s="13">
        <v>46276</v>
      </c>
      <c r="F98" s="33" t="s">
        <v>475</v>
      </c>
      <c r="G98" s="33" t="s">
        <v>83</v>
      </c>
      <c r="H98" s="33"/>
      <c r="I98" s="13"/>
      <c r="J98" s="40" t="str">
        <f>IF(G98="Pending",IF(E98="","",Masters!$B$21-E98),"")</f>
        <v/>
      </c>
      <c r="K98" s="34" t="str">
        <f t="shared" ref="K98:K121" si="3">IF(A98="","Missing Ref",IF(COUNTIF($A$2:$A$500,A98)&gt;1,"Duplicate Ref",IF(OR(B98="",C98="",D98="",E98="",G98=""),"Missing Info",IF(AND(G98="Discrepancy",H98=""),"Remark Needed",IF(AND(G98="Verified",I98=""),"Verified Date Needed","OK")))))</f>
        <v>Verified Date Needed</v>
      </c>
      <c r="L98" s="34" t="str">
        <f>IF(G98&lt;&gt;"Pending","",IF(J98="","",IF(J98&gt;Masters!$B$20,"Overdue","Within SLA")))</f>
        <v/>
      </c>
    </row>
    <row r="99" spans="1:12" x14ac:dyDescent="0.3">
      <c r="A99" s="33" t="s">
        <v>591</v>
      </c>
      <c r="B99" s="33" t="s">
        <v>461</v>
      </c>
      <c r="C99" s="33" t="s">
        <v>539</v>
      </c>
      <c r="D99" s="33" t="s">
        <v>472</v>
      </c>
      <c r="E99" s="13">
        <v>46276</v>
      </c>
      <c r="F99" s="33" t="s">
        <v>468</v>
      </c>
      <c r="G99" s="33" t="s">
        <v>83</v>
      </c>
      <c r="H99" s="33"/>
      <c r="I99" s="13">
        <v>46279</v>
      </c>
      <c r="J99" s="40" t="str">
        <f>IF(G99="Pending",IF(E99="","",Masters!$B$21-E99),"")</f>
        <v/>
      </c>
      <c r="K99" s="34" t="str">
        <f t="shared" si="3"/>
        <v>OK</v>
      </c>
      <c r="L99" s="34" t="str">
        <f>IF(G99&lt;&gt;"Pending","",IF(J99="","",IF(J99&gt;Masters!$B$20,"Overdue","Within SLA")))</f>
        <v/>
      </c>
    </row>
    <row r="100" spans="1:12" x14ac:dyDescent="0.3">
      <c r="A100" s="33" t="s">
        <v>592</v>
      </c>
      <c r="B100" s="33" t="s">
        <v>110</v>
      </c>
      <c r="C100" s="33" t="s">
        <v>156</v>
      </c>
      <c r="D100" s="33" t="s">
        <v>504</v>
      </c>
      <c r="E100" s="13">
        <v>46276</v>
      </c>
      <c r="F100" s="33"/>
      <c r="G100" s="33" t="s">
        <v>84</v>
      </c>
      <c r="H100" s="33"/>
      <c r="I100" s="13"/>
      <c r="J100" s="40">
        <f ca="1">IF(G100="Pending",IF(E100="","",Masters!$B$21-E100),"")</f>
        <v>8</v>
      </c>
      <c r="K100" s="34" t="str">
        <f t="shared" si="3"/>
        <v>OK</v>
      </c>
      <c r="L100" s="34" t="str">
        <f ca="1">IF(G100&lt;&gt;"Pending","",IF(J100="","",IF(J100&gt;Masters!$B$20,"Overdue","Within SLA")))</f>
        <v>Overdue</v>
      </c>
    </row>
    <row r="101" spans="1:12" x14ac:dyDescent="0.3">
      <c r="A101" s="33" t="s">
        <v>593</v>
      </c>
      <c r="B101" s="33" t="s">
        <v>461</v>
      </c>
      <c r="C101" s="33" t="s">
        <v>556</v>
      </c>
      <c r="D101" s="33" t="s">
        <v>467</v>
      </c>
      <c r="E101" s="13">
        <v>46277</v>
      </c>
      <c r="F101" s="33" t="s">
        <v>468</v>
      </c>
      <c r="G101" s="33" t="s">
        <v>83</v>
      </c>
      <c r="H101" s="33"/>
      <c r="I101" s="13">
        <v>46280</v>
      </c>
      <c r="J101" s="40" t="str">
        <f>IF(G101="Pending",IF(E101="","",Masters!$B$21-E101),"")</f>
        <v/>
      </c>
      <c r="K101" s="34" t="str">
        <f t="shared" si="3"/>
        <v>OK</v>
      </c>
      <c r="L101" s="34" t="str">
        <f>IF(G101&lt;&gt;"Pending","",IF(J101="","",IF(J101&gt;Masters!$B$20,"Overdue","Within SLA")))</f>
        <v/>
      </c>
    </row>
    <row r="102" spans="1:12" x14ac:dyDescent="0.3">
      <c r="A102" s="33" t="s">
        <v>594</v>
      </c>
      <c r="B102" s="33" t="s">
        <v>461</v>
      </c>
      <c r="C102" s="33" t="s">
        <v>503</v>
      </c>
      <c r="D102" s="33" t="s">
        <v>467</v>
      </c>
      <c r="E102" s="13">
        <v>46277</v>
      </c>
      <c r="F102" s="33"/>
      <c r="G102" s="33" t="s">
        <v>84</v>
      </c>
      <c r="H102" s="33"/>
      <c r="I102" s="13"/>
      <c r="J102" s="40">
        <f ca="1">IF(G102="Pending",IF(E102="","",Masters!$B$21-E102),"")</f>
        <v>7</v>
      </c>
      <c r="K102" s="34" t="str">
        <f t="shared" si="3"/>
        <v>OK</v>
      </c>
      <c r="L102" s="34" t="str">
        <f ca="1">IF(G102&lt;&gt;"Pending","",IF(J102="","",IF(J102&gt;Masters!$B$20,"Overdue","Within SLA")))</f>
        <v>Within SLA</v>
      </c>
    </row>
    <row r="103" spans="1:12" x14ac:dyDescent="0.3">
      <c r="A103" s="33" t="s">
        <v>595</v>
      </c>
      <c r="B103" s="33" t="s">
        <v>461</v>
      </c>
      <c r="C103" s="33" t="s">
        <v>507</v>
      </c>
      <c r="D103" s="33" t="s">
        <v>474</v>
      </c>
      <c r="E103" s="13">
        <v>46277</v>
      </c>
      <c r="F103" s="33"/>
      <c r="G103" s="33" t="s">
        <v>84</v>
      </c>
      <c r="H103" s="33"/>
      <c r="I103" s="13"/>
      <c r="J103" s="40">
        <f ca="1">IF(G103="Pending",IF(E103="","",Masters!$B$21-E103),"")</f>
        <v>7</v>
      </c>
      <c r="K103" s="34" t="str">
        <f t="shared" si="3"/>
        <v>OK</v>
      </c>
      <c r="L103" s="34" t="str">
        <f ca="1">IF(G103&lt;&gt;"Pending","",IF(J103="","",IF(J103&gt;Masters!$B$20,"Overdue","Within SLA")))</f>
        <v>Within SLA</v>
      </c>
    </row>
    <row r="104" spans="1:12" x14ac:dyDescent="0.3">
      <c r="A104" s="33" t="s">
        <v>596</v>
      </c>
      <c r="B104" s="33" t="s">
        <v>461</v>
      </c>
      <c r="C104" s="33" t="s">
        <v>556</v>
      </c>
      <c r="D104" s="33" t="s">
        <v>472</v>
      </c>
      <c r="E104" s="13">
        <v>46277</v>
      </c>
      <c r="F104" s="33"/>
      <c r="G104" s="33" t="s">
        <v>84</v>
      </c>
      <c r="H104" s="33"/>
      <c r="I104" s="13"/>
      <c r="J104" s="40">
        <f ca="1">IF(G104="Pending",IF(E104="","",Masters!$B$21-E104),"")</f>
        <v>7</v>
      </c>
      <c r="K104" s="34" t="str">
        <f t="shared" si="3"/>
        <v>OK</v>
      </c>
      <c r="L104" s="34" t="str">
        <f ca="1">IF(G104&lt;&gt;"Pending","",IF(J104="","",IF(J104&gt;Masters!$B$20,"Overdue","Within SLA")))</f>
        <v>Within SLA</v>
      </c>
    </row>
    <row r="105" spans="1:12" x14ac:dyDescent="0.3">
      <c r="A105" s="33" t="s">
        <v>597</v>
      </c>
      <c r="B105" s="33" t="s">
        <v>461</v>
      </c>
      <c r="C105" s="33" t="s">
        <v>497</v>
      </c>
      <c r="D105" s="33" t="s">
        <v>472</v>
      </c>
      <c r="E105" s="13">
        <v>46278</v>
      </c>
      <c r="F105" s="33" t="s">
        <v>468</v>
      </c>
      <c r="G105" s="33" t="s">
        <v>83</v>
      </c>
      <c r="H105" s="33"/>
      <c r="I105" s="13">
        <v>46278</v>
      </c>
      <c r="J105" s="40" t="str">
        <f>IF(G105="Pending",IF(E105="","",Masters!$B$21-E105),"")</f>
        <v/>
      </c>
      <c r="K105" s="34" t="str">
        <f t="shared" si="3"/>
        <v>OK</v>
      </c>
      <c r="L105" s="34" t="str">
        <f>IF(G105&lt;&gt;"Pending","",IF(J105="","",IF(J105&gt;Masters!$B$20,"Overdue","Within SLA")))</f>
        <v/>
      </c>
    </row>
    <row r="106" spans="1:12" x14ac:dyDescent="0.3">
      <c r="A106" s="33" t="s">
        <v>598</v>
      </c>
      <c r="B106" s="33" t="s">
        <v>461</v>
      </c>
      <c r="C106" s="33" t="s">
        <v>526</v>
      </c>
      <c r="D106" s="33" t="s">
        <v>474</v>
      </c>
      <c r="E106" s="13">
        <v>46278</v>
      </c>
      <c r="F106" s="33" t="s">
        <v>464</v>
      </c>
      <c r="G106" s="33" t="s">
        <v>83</v>
      </c>
      <c r="H106" s="33"/>
      <c r="I106" s="13">
        <v>46281</v>
      </c>
      <c r="J106" s="40" t="str">
        <f>IF(G106="Pending",IF(E106="","",Masters!$B$21-E106),"")</f>
        <v/>
      </c>
      <c r="K106" s="34" t="str">
        <f t="shared" si="3"/>
        <v>OK</v>
      </c>
      <c r="L106" s="34" t="str">
        <f>IF(G106&lt;&gt;"Pending","",IF(J106="","",IF(J106&gt;Masters!$B$20,"Overdue","Within SLA")))</f>
        <v/>
      </c>
    </row>
    <row r="107" spans="1:12" x14ac:dyDescent="0.3">
      <c r="A107" s="33" t="s">
        <v>599</v>
      </c>
      <c r="B107" s="33" t="s">
        <v>461</v>
      </c>
      <c r="C107" s="33" t="s">
        <v>503</v>
      </c>
      <c r="D107" s="33" t="s">
        <v>474</v>
      </c>
      <c r="E107" s="13">
        <v>46278</v>
      </c>
      <c r="F107" s="33"/>
      <c r="G107" s="33" t="s">
        <v>84</v>
      </c>
      <c r="H107" s="33"/>
      <c r="I107" s="13"/>
      <c r="J107" s="40">
        <f ca="1">IF(G107="Pending",IF(E107="","",Masters!$B$21-E107),"")</f>
        <v>6</v>
      </c>
      <c r="K107" s="34" t="str">
        <f t="shared" si="3"/>
        <v>OK</v>
      </c>
      <c r="L107" s="34" t="str">
        <f ca="1">IF(G107&lt;&gt;"Pending","",IF(J107="","",IF(J107&gt;Masters!$B$20,"Overdue","Within SLA")))</f>
        <v>Within SLA</v>
      </c>
    </row>
    <row r="108" spans="1:12" x14ac:dyDescent="0.3">
      <c r="A108" s="33" t="s">
        <v>600</v>
      </c>
      <c r="B108" s="33" t="s">
        <v>110</v>
      </c>
      <c r="C108" s="33" t="s">
        <v>151</v>
      </c>
      <c r="D108" s="33" t="s">
        <v>504</v>
      </c>
      <c r="E108" s="13">
        <v>46278</v>
      </c>
      <c r="F108" s="33"/>
      <c r="G108" s="33" t="s">
        <v>84</v>
      </c>
      <c r="H108" s="33"/>
      <c r="I108" s="13"/>
      <c r="J108" s="40">
        <f ca="1">IF(G108="Pending",IF(E108="","",Masters!$B$21-E108),"")</f>
        <v>6</v>
      </c>
      <c r="K108" s="34" t="str">
        <f t="shared" si="3"/>
        <v>OK</v>
      </c>
      <c r="L108" s="34" t="str">
        <f ca="1">IF(G108&lt;&gt;"Pending","",IF(J108="","",IF(J108&gt;Masters!$B$20,"Overdue","Within SLA")))</f>
        <v>Within SLA</v>
      </c>
    </row>
    <row r="109" spans="1:12" x14ac:dyDescent="0.3">
      <c r="A109" s="33" t="s">
        <v>601</v>
      </c>
      <c r="B109" s="33" t="s">
        <v>461</v>
      </c>
      <c r="C109" s="33" t="s">
        <v>503</v>
      </c>
      <c r="D109" s="33" t="s">
        <v>472</v>
      </c>
      <c r="E109" s="13">
        <v>46279</v>
      </c>
      <c r="F109" s="33"/>
      <c r="G109" s="33" t="s">
        <v>84</v>
      </c>
      <c r="H109" s="33"/>
      <c r="I109" s="13"/>
      <c r="J109" s="40">
        <f ca="1">IF(G109="Pending",IF(E109="","",Masters!$B$21-E109),"")</f>
        <v>5</v>
      </c>
      <c r="K109" s="34" t="str">
        <f t="shared" si="3"/>
        <v>OK</v>
      </c>
      <c r="L109" s="34" t="str">
        <f ca="1">IF(G109&lt;&gt;"Pending","",IF(J109="","",IF(J109&gt;Masters!$B$20,"Overdue","Within SLA")))</f>
        <v>Within SLA</v>
      </c>
    </row>
    <row r="110" spans="1:12" x14ac:dyDescent="0.3">
      <c r="A110" s="33" t="s">
        <v>602</v>
      </c>
      <c r="B110" s="33" t="s">
        <v>461</v>
      </c>
      <c r="C110" s="33" t="s">
        <v>566</v>
      </c>
      <c r="D110" s="33" t="s">
        <v>463</v>
      </c>
      <c r="E110" s="13">
        <v>46279</v>
      </c>
      <c r="F110" s="33" t="s">
        <v>468</v>
      </c>
      <c r="G110" s="33" t="s">
        <v>83</v>
      </c>
      <c r="H110" s="33"/>
      <c r="I110" s="13">
        <v>46283</v>
      </c>
      <c r="J110" s="40" t="str">
        <f>IF(G110="Pending",IF(E110="","",Masters!$B$21-E110),"")</f>
        <v/>
      </c>
      <c r="K110" s="34" t="str">
        <f t="shared" si="3"/>
        <v>OK</v>
      </c>
      <c r="L110" s="34" t="str">
        <f>IF(G110&lt;&gt;"Pending","",IF(J110="","",IF(J110&gt;Masters!$B$20,"Overdue","Within SLA")))</f>
        <v/>
      </c>
    </row>
    <row r="111" spans="1:12" x14ac:dyDescent="0.3">
      <c r="A111" s="33" t="s">
        <v>603</v>
      </c>
      <c r="B111" s="33" t="s">
        <v>110</v>
      </c>
      <c r="C111" s="33" t="s">
        <v>151</v>
      </c>
      <c r="D111" s="33" t="s">
        <v>483</v>
      </c>
      <c r="E111" s="13">
        <v>46279</v>
      </c>
      <c r="F111" s="33" t="s">
        <v>464</v>
      </c>
      <c r="G111" s="33" t="s">
        <v>83</v>
      </c>
      <c r="H111" s="33"/>
      <c r="I111" s="13">
        <v>46283</v>
      </c>
      <c r="J111" s="40" t="str">
        <f>IF(G111="Pending",IF(E111="","",Masters!$B$21-E111),"")</f>
        <v/>
      </c>
      <c r="K111" s="34" t="str">
        <f t="shared" si="3"/>
        <v>OK</v>
      </c>
      <c r="L111" s="34" t="str">
        <f>IF(G111&lt;&gt;"Pending","",IF(J111="","",IF(J111&gt;Masters!$B$20,"Overdue","Within SLA")))</f>
        <v/>
      </c>
    </row>
    <row r="112" spans="1:12" x14ac:dyDescent="0.3">
      <c r="A112" s="33" t="s">
        <v>604</v>
      </c>
      <c r="B112" s="33" t="s">
        <v>461</v>
      </c>
      <c r="C112" s="33" t="s">
        <v>526</v>
      </c>
      <c r="D112" s="33" t="s">
        <v>467</v>
      </c>
      <c r="E112" s="13">
        <v>46280</v>
      </c>
      <c r="F112" s="33"/>
      <c r="G112" s="33" t="s">
        <v>84</v>
      </c>
      <c r="H112" s="33"/>
      <c r="I112" s="13"/>
      <c r="J112" s="40">
        <f ca="1">IF(G112="Pending",IF(E112="","",Masters!$B$21-E112),"")</f>
        <v>4</v>
      </c>
      <c r="K112" s="34" t="str">
        <f t="shared" si="3"/>
        <v>OK</v>
      </c>
      <c r="L112" s="34" t="str">
        <f ca="1">IF(G112&lt;&gt;"Pending","",IF(J112="","",IF(J112&gt;Masters!$B$20,"Overdue","Within SLA")))</f>
        <v>Within SLA</v>
      </c>
    </row>
    <row r="113" spans="1:12" x14ac:dyDescent="0.3">
      <c r="A113" s="33" t="s">
        <v>605</v>
      </c>
      <c r="B113" s="33" t="s">
        <v>461</v>
      </c>
      <c r="C113" s="33" t="s">
        <v>528</v>
      </c>
      <c r="D113" s="33" t="s">
        <v>472</v>
      </c>
      <c r="E113" s="13">
        <v>46280</v>
      </c>
      <c r="F113" s="33" t="s">
        <v>464</v>
      </c>
      <c r="G113" s="33" t="s">
        <v>83</v>
      </c>
      <c r="H113" s="33"/>
      <c r="I113" s="13">
        <v>46283</v>
      </c>
      <c r="J113" s="40" t="str">
        <f>IF(G113="Pending",IF(E113="","",Masters!$B$21-E113),"")</f>
        <v/>
      </c>
      <c r="K113" s="34" t="str">
        <f t="shared" si="3"/>
        <v>OK</v>
      </c>
      <c r="L113" s="34" t="str">
        <f>IF(G113&lt;&gt;"Pending","",IF(J113="","",IF(J113&gt;Masters!$B$20,"Overdue","Within SLA")))</f>
        <v/>
      </c>
    </row>
    <row r="114" spans="1:12" x14ac:dyDescent="0.3">
      <c r="A114" s="33" t="s">
        <v>606</v>
      </c>
      <c r="B114" s="33" t="s">
        <v>461</v>
      </c>
      <c r="C114" s="33" t="s">
        <v>528</v>
      </c>
      <c r="D114" s="33" t="s">
        <v>504</v>
      </c>
      <c r="E114" s="13">
        <v>46280</v>
      </c>
      <c r="F114" s="33" t="s">
        <v>468</v>
      </c>
      <c r="G114" s="33" t="s">
        <v>83</v>
      </c>
      <c r="H114" s="33"/>
      <c r="I114" s="13">
        <v>46283</v>
      </c>
      <c r="J114" s="40" t="str">
        <f>IF(G114="Pending",IF(E114="","",Masters!$B$21-E114),"")</f>
        <v/>
      </c>
      <c r="K114" s="34" t="str">
        <f t="shared" si="3"/>
        <v>OK</v>
      </c>
      <c r="L114" s="34" t="str">
        <f>IF(G114&lt;&gt;"Pending","",IF(J114="","",IF(J114&gt;Masters!$B$20,"Overdue","Within SLA")))</f>
        <v/>
      </c>
    </row>
    <row r="115" spans="1:12" x14ac:dyDescent="0.3">
      <c r="A115" s="33" t="s">
        <v>607</v>
      </c>
      <c r="B115" s="33" t="s">
        <v>461</v>
      </c>
      <c r="C115" s="33" t="s">
        <v>513</v>
      </c>
      <c r="D115" s="33" t="s">
        <v>474</v>
      </c>
      <c r="E115" s="13">
        <v>46280</v>
      </c>
      <c r="F115" s="33"/>
      <c r="G115" s="33" t="s">
        <v>84</v>
      </c>
      <c r="H115" s="33"/>
      <c r="I115" s="13"/>
      <c r="J115" s="40">
        <f ca="1">IF(G115="Pending",IF(E115="","",Masters!$B$21-E115),"")</f>
        <v>4</v>
      </c>
      <c r="K115" s="34" t="str">
        <f t="shared" si="3"/>
        <v>OK</v>
      </c>
      <c r="L115" s="34" t="str">
        <f ca="1">IF(G115&lt;&gt;"Pending","",IF(J115="","",IF(J115&gt;Masters!$B$20,"Overdue","Within SLA")))</f>
        <v>Within SLA</v>
      </c>
    </row>
    <row r="116" spans="1:12" x14ac:dyDescent="0.3">
      <c r="A116" s="33" t="s">
        <v>608</v>
      </c>
      <c r="B116" s="33" t="s">
        <v>461</v>
      </c>
      <c r="C116" s="33" t="s">
        <v>526</v>
      </c>
      <c r="D116" s="33" t="s">
        <v>504</v>
      </c>
      <c r="E116" s="13">
        <v>46280</v>
      </c>
      <c r="F116" s="33"/>
      <c r="G116" s="33" t="s">
        <v>84</v>
      </c>
      <c r="H116" s="33"/>
      <c r="I116" s="13"/>
      <c r="J116" s="40">
        <f ca="1">IF(G116="Pending",IF(E116="","",Masters!$B$21-E116),"")</f>
        <v>4</v>
      </c>
      <c r="K116" s="34" t="str">
        <f t="shared" si="3"/>
        <v>OK</v>
      </c>
      <c r="L116" s="34" t="str">
        <f ca="1">IF(G116&lt;&gt;"Pending","",IF(J116="","",IF(J116&gt;Masters!$B$20,"Overdue","Within SLA")))</f>
        <v>Within SLA</v>
      </c>
    </row>
    <row r="117" spans="1:12" x14ac:dyDescent="0.3">
      <c r="A117" s="33" t="s">
        <v>609</v>
      </c>
      <c r="B117" s="33" t="s">
        <v>461</v>
      </c>
      <c r="C117" s="33" t="s">
        <v>466</v>
      </c>
      <c r="D117" s="33" t="s">
        <v>472</v>
      </c>
      <c r="E117" s="13">
        <v>46281</v>
      </c>
      <c r="F117" s="33"/>
      <c r="G117" s="33" t="s">
        <v>84</v>
      </c>
      <c r="H117" s="33"/>
      <c r="I117" s="13"/>
      <c r="J117" s="40">
        <f ca="1">IF(G117="Pending",IF(E117="","",Masters!$B$21-E117),"")</f>
        <v>3</v>
      </c>
      <c r="K117" s="34" t="str">
        <f t="shared" si="3"/>
        <v>OK</v>
      </c>
      <c r="L117" s="34" t="str">
        <f ca="1">IF(G117&lt;&gt;"Pending","",IF(J117="","",IF(J117&gt;Masters!$B$20,"Overdue","Within SLA")))</f>
        <v>Within SLA</v>
      </c>
    </row>
    <row r="118" spans="1:12" x14ac:dyDescent="0.3">
      <c r="A118" s="33" t="s">
        <v>610</v>
      </c>
      <c r="B118" s="33" t="s">
        <v>461</v>
      </c>
      <c r="C118" s="33" t="s">
        <v>485</v>
      </c>
      <c r="D118" s="33" t="s">
        <v>463</v>
      </c>
      <c r="E118" s="13">
        <v>46281</v>
      </c>
      <c r="F118" s="33"/>
      <c r="G118" s="33" t="s">
        <v>84</v>
      </c>
      <c r="H118" s="33"/>
      <c r="I118" s="13"/>
      <c r="J118" s="40">
        <f ca="1">IF(G118="Pending",IF(E118="","",Masters!$B$21-E118),"")</f>
        <v>3</v>
      </c>
      <c r="K118" s="34" t="str">
        <f t="shared" si="3"/>
        <v>OK</v>
      </c>
      <c r="L118" s="34" t="str">
        <f ca="1">IF(G118&lt;&gt;"Pending","",IF(J118="","",IF(J118&gt;Masters!$B$20,"Overdue","Within SLA")))</f>
        <v>Within SLA</v>
      </c>
    </row>
    <row r="119" spans="1:12" x14ac:dyDescent="0.3">
      <c r="A119" s="33" t="s">
        <v>611</v>
      </c>
      <c r="B119" s="33" t="s">
        <v>461</v>
      </c>
      <c r="C119" s="33" t="s">
        <v>513</v>
      </c>
      <c r="D119" s="33" t="s">
        <v>504</v>
      </c>
      <c r="E119" s="13">
        <v>46282</v>
      </c>
      <c r="F119" s="33"/>
      <c r="G119" s="33" t="s">
        <v>84</v>
      </c>
      <c r="H119" s="33"/>
      <c r="I119" s="13"/>
      <c r="J119" s="40">
        <f ca="1">IF(G119="Pending",IF(E119="","",Masters!$B$21-E119),"")</f>
        <v>2</v>
      </c>
      <c r="K119" s="34" t="str">
        <f t="shared" si="3"/>
        <v>OK</v>
      </c>
      <c r="L119" s="34" t="str">
        <f ca="1">IF(G119&lt;&gt;"Pending","",IF(J119="","",IF(J119&gt;Masters!$B$20,"Overdue","Within SLA")))</f>
        <v>Within SLA</v>
      </c>
    </row>
    <row r="120" spans="1:12" x14ac:dyDescent="0.3">
      <c r="A120" s="33" t="s">
        <v>612</v>
      </c>
      <c r="B120" s="33" t="s">
        <v>461</v>
      </c>
      <c r="C120" s="33" t="s">
        <v>566</v>
      </c>
      <c r="D120" s="33" t="s">
        <v>504</v>
      </c>
      <c r="E120" s="13">
        <v>46282</v>
      </c>
      <c r="F120" s="33"/>
      <c r="G120" s="33" t="s">
        <v>84</v>
      </c>
      <c r="H120" s="33"/>
      <c r="I120" s="13"/>
      <c r="J120" s="40">
        <f ca="1">IF(G120="Pending",IF(E120="","",Masters!$B$21-E120),"")</f>
        <v>2</v>
      </c>
      <c r="K120" s="34" t="str">
        <f t="shared" si="3"/>
        <v>OK</v>
      </c>
      <c r="L120" s="34" t="str">
        <f ca="1">IF(G120&lt;&gt;"Pending","",IF(J120="","",IF(J120&gt;Masters!$B$20,"Overdue","Within SLA")))</f>
        <v>Within SLA</v>
      </c>
    </row>
    <row r="121" spans="1:12" x14ac:dyDescent="0.3">
      <c r="A121" s="33" t="s">
        <v>613</v>
      </c>
      <c r="B121" s="33" t="s">
        <v>461</v>
      </c>
      <c r="C121" s="33" t="s">
        <v>544</v>
      </c>
      <c r="D121" s="33" t="s">
        <v>472</v>
      </c>
      <c r="E121" s="13">
        <v>46282</v>
      </c>
      <c r="F121" s="33"/>
      <c r="G121" s="33" t="s">
        <v>84</v>
      </c>
      <c r="H121" s="33"/>
      <c r="I121" s="13"/>
      <c r="J121" s="40">
        <f ca="1">IF(G121="Pending",IF(E121="","",Masters!$B$21-E121),"")</f>
        <v>2</v>
      </c>
      <c r="K121" s="34" t="str">
        <f t="shared" si="3"/>
        <v>OK</v>
      </c>
      <c r="L121" s="34" t="str">
        <f ca="1">IF(G121&lt;&gt;"Pending","",IF(J121="","",IF(J121&gt;Masters!$B$20,"Overdue","Within SLA")))</f>
        <v>Within SLA</v>
      </c>
    </row>
  </sheetData>
  <autoFilter ref="A1:L121"/>
  <conditionalFormatting sqref="A2:L500">
    <cfRule type="expression" dxfId="5" priority="2">
      <formula>AND($K2&lt;&gt;"",$K2&lt;&gt;"OK")</formula>
    </cfRule>
  </conditionalFormatting>
  <conditionalFormatting sqref="G2:G500">
    <cfRule type="expression" dxfId="4" priority="3">
      <formula>$G2="Verified"</formula>
    </cfRule>
    <cfRule type="expression" dxfId="3" priority="4">
      <formula>$G2="Pending"</formula>
    </cfRule>
    <cfRule type="expression" dxfId="2" priority="5">
      <formula>$G2="Discrepancy"</formula>
    </cfRule>
  </conditionalFormatting>
  <conditionalFormatting sqref="L2:L500">
    <cfRule type="expression" dxfId="1" priority="6">
      <formula>$L2="Overdue"</formula>
    </cfRule>
  </conditionalFormatting>
  <conditionalFormatting sqref="K2:K500">
    <cfRule type="expression" dxfId="0" priority="7">
      <formula>$K2="OK"</formula>
    </cfRule>
  </conditionalFormatting>
  <dataValidations count="1">
    <dataValidation type="date" operator="greaterThan" allowBlank="1" showErrorMessage="1" errorTitle="Invalid date" error="Enter a valid date (dd-mmm-yyyy)." sqref="E2:E500 I2:I500">
      <formula1>43831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valid entity" error="Choose Client or Candidate.">
          <x14:formula1>
            <xm:f>Masters!$Q$5:$Q$6</xm:f>
          </x14:formula1>
          <x14:formula2>
            <xm:f>0</xm:f>
          </x14:formula2>
          <xm:sqref>B2:B500</xm:sqref>
        </x14:dataValidation>
        <x14:dataValidation type="list" allowBlank="1" showErrorMessage="1" errorTitle="Invalid document" error="Pick a document type from the dropdown.">
          <x14:formula1>
            <xm:f>Masters!$O$5:$O$12</xm:f>
          </x14:formula1>
          <x14:formula2>
            <xm:f>0</xm:f>
          </x14:formula2>
          <xm:sqref>D2:D500</xm:sqref>
        </x14:dataValidation>
        <x14:dataValidation type="list" allowBlank="1" showErrorMessage="1" errorTitle="Invalid verifier" error="Pick a verifier from the dropdown.">
          <x14:formula1>
            <xm:f>Masters!$S$5:$S$7</xm:f>
          </x14:formula1>
          <x14:formula2>
            <xm:f>0</xm:f>
          </x14:formula2>
          <xm:sqref>F2:F500</xm:sqref>
        </x14:dataValidation>
        <x14:dataValidation type="list" allowBlank="1" showErrorMessage="1" errorTitle="Invalid status" error="Choose Verified, Pending or Discrepancy.">
          <x14:formula1>
            <xm:f>Masters!$M$5:$M$7</xm:f>
          </x14:formula1>
          <x14:formula2>
            <xm:f>0</xm:f>
          </x14:formula2>
          <xm:sqref>G2:G500</xm:sqref>
        </x14:dataValidation>
        <x14:dataValidation type="list" allowBlank="1">
          <x14:formula1>
            <xm:f>Masters!$W$5:$W$9</xm:f>
          </x14:formula1>
          <x14:formula2>
            <xm:f>0</xm:f>
          </x14:formula2>
          <xm:sqref>H2:H500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C25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12" customWidth="1"/>
    <col min="3" max="3" width="70" customWidth="1"/>
  </cols>
  <sheetData>
    <row r="1" spans="1:3" ht="21" x14ac:dyDescent="0.4">
      <c r="A1" s="1" t="s">
        <v>614</v>
      </c>
    </row>
    <row r="2" spans="1:3" x14ac:dyDescent="0.3">
      <c r="A2" s="2" t="s">
        <v>615</v>
      </c>
    </row>
    <row r="4" spans="1:3" x14ac:dyDescent="0.3">
      <c r="A4" s="7" t="s">
        <v>616</v>
      </c>
      <c r="B4" s="7" t="s">
        <v>81</v>
      </c>
      <c r="C4" s="7" t="s">
        <v>617</v>
      </c>
    </row>
    <row r="5" spans="1:3" x14ac:dyDescent="0.3">
      <c r="A5" s="22" t="s">
        <v>618</v>
      </c>
      <c r="B5" s="12">
        <f>COUNTA('Shipment Data'!$A$2:$A$1000)</f>
        <v>300</v>
      </c>
      <c r="C5" s="41" t="s">
        <v>619</v>
      </c>
    </row>
    <row r="6" spans="1:3" x14ac:dyDescent="0.3">
      <c r="A6" s="12" t="s">
        <v>620</v>
      </c>
      <c r="B6" s="12">
        <f>COUNTIF('Shipment Data'!$Q$2:$Q$1000,"OK")</f>
        <v>279</v>
      </c>
      <c r="C6" s="41" t="s">
        <v>621</v>
      </c>
    </row>
    <row r="7" spans="1:3" ht="26.4" x14ac:dyDescent="0.3">
      <c r="A7" s="12" t="s">
        <v>622</v>
      </c>
      <c r="B7" s="12">
        <f>COUNTIF('Shipment Data'!$Q$2:$Q$1000,"Duplicate ID")</f>
        <v>6</v>
      </c>
      <c r="C7" s="41" t="s">
        <v>623</v>
      </c>
    </row>
    <row r="8" spans="1:3" x14ac:dyDescent="0.3">
      <c r="A8" s="12" t="s">
        <v>624</v>
      </c>
      <c r="B8" s="12">
        <f>COUNTIF('Shipment Data'!$Q$2:$Q$1000,"Missing Field")</f>
        <v>6</v>
      </c>
      <c r="C8" s="41" t="s">
        <v>625</v>
      </c>
    </row>
    <row r="9" spans="1:3" x14ac:dyDescent="0.3">
      <c r="A9" s="12" t="s">
        <v>626</v>
      </c>
      <c r="B9" s="12">
        <f>COUNTIF('Shipment Data'!$Q$2:$Q$1000,"Invalid Weight")</f>
        <v>3</v>
      </c>
      <c r="C9" s="41" t="s">
        <v>627</v>
      </c>
    </row>
    <row r="10" spans="1:3" x14ac:dyDescent="0.3">
      <c r="A10" s="12" t="s">
        <v>628</v>
      </c>
      <c r="B10" s="12">
        <f>COUNTIF('Shipment Data'!$Q$2:$Q$1000,"Delivery Before Ship Date")</f>
        <v>3</v>
      </c>
      <c r="C10" s="41" t="s">
        <v>629</v>
      </c>
    </row>
    <row r="11" spans="1:3" x14ac:dyDescent="0.3">
      <c r="A11" s="12" t="s">
        <v>630</v>
      </c>
      <c r="B11" s="12">
        <f>COUNTIF('Shipment Data'!$Q$2:$Q$1000,"Delivered But No Date")</f>
        <v>3</v>
      </c>
      <c r="C11" s="41" t="s">
        <v>631</v>
      </c>
    </row>
    <row r="12" spans="1:3" x14ac:dyDescent="0.3">
      <c r="A12" s="22" t="s">
        <v>632</v>
      </c>
      <c r="B12" s="12">
        <f>B5-B6</f>
        <v>21</v>
      </c>
      <c r="C12" s="41" t="s">
        <v>633</v>
      </c>
    </row>
    <row r="13" spans="1:3" x14ac:dyDescent="0.3">
      <c r="A13" s="22" t="s">
        <v>634</v>
      </c>
      <c r="B13" s="16">
        <f>IF(B5=0,0,B6/B5)</f>
        <v>0.93</v>
      </c>
      <c r="C13" s="41" t="s">
        <v>635</v>
      </c>
    </row>
    <row r="14" spans="1:3" x14ac:dyDescent="0.3">
      <c r="A14" s="22" t="s">
        <v>636</v>
      </c>
      <c r="B14" s="16">
        <f>IF(B5=0,0,B12/B5)</f>
        <v>7.0000000000000007E-2</v>
      </c>
      <c r="C14" s="41" t="s">
        <v>637</v>
      </c>
    </row>
    <row r="17" spans="1:3" x14ac:dyDescent="0.3">
      <c r="A17" s="7" t="s">
        <v>638</v>
      </c>
      <c r="B17" s="7" t="s">
        <v>81</v>
      </c>
      <c r="C17" s="7" t="s">
        <v>617</v>
      </c>
    </row>
    <row r="18" spans="1:3" x14ac:dyDescent="0.3">
      <c r="A18" s="22" t="s">
        <v>639</v>
      </c>
      <c r="B18" s="12">
        <f>COUNTA('Doc Verification'!$A$2:$A$500)</f>
        <v>120</v>
      </c>
      <c r="C18" s="41" t="s">
        <v>640</v>
      </c>
    </row>
    <row r="19" spans="1:3" x14ac:dyDescent="0.3">
      <c r="A19" s="12" t="s">
        <v>620</v>
      </c>
      <c r="B19" s="12">
        <f>COUNTIF('Doc Verification'!$K$2:$K$500,"OK")</f>
        <v>110</v>
      </c>
      <c r="C19" s="41" t="s">
        <v>641</v>
      </c>
    </row>
    <row r="20" spans="1:3" x14ac:dyDescent="0.3">
      <c r="A20" s="12" t="s">
        <v>642</v>
      </c>
      <c r="B20" s="12">
        <f>COUNTIF('Doc Verification'!$K$2:$K$500,"Duplicate Ref")</f>
        <v>2</v>
      </c>
      <c r="C20" s="41" t="s">
        <v>643</v>
      </c>
    </row>
    <row r="21" spans="1:3" x14ac:dyDescent="0.3">
      <c r="A21" s="12" t="s">
        <v>644</v>
      </c>
      <c r="B21" s="12">
        <f>COUNTIF('Doc Verification'!$K$2:$K$500,"Missing Info")</f>
        <v>3</v>
      </c>
      <c r="C21" s="41" t="s">
        <v>645</v>
      </c>
    </row>
    <row r="22" spans="1:3" x14ac:dyDescent="0.3">
      <c r="A22" s="12" t="s">
        <v>646</v>
      </c>
      <c r="B22" s="12">
        <f>COUNTIF('Doc Verification'!$K$2:$K$500,"Remark Needed")</f>
        <v>3</v>
      </c>
      <c r="C22" s="41" t="s">
        <v>647</v>
      </c>
    </row>
    <row r="23" spans="1:3" x14ac:dyDescent="0.3">
      <c r="A23" s="12" t="s">
        <v>648</v>
      </c>
      <c r="B23" s="12">
        <f>COUNTIF('Doc Verification'!$K$2:$K$500,"Verified Date Needed")</f>
        <v>2</v>
      </c>
      <c r="C23" s="41" t="s">
        <v>649</v>
      </c>
    </row>
    <row r="24" spans="1:3" x14ac:dyDescent="0.3">
      <c r="A24" s="22" t="s">
        <v>632</v>
      </c>
      <c r="B24" s="12">
        <f>B18-B19</f>
        <v>10</v>
      </c>
      <c r="C24" s="41" t="s">
        <v>633</v>
      </c>
    </row>
    <row r="25" spans="1:3" x14ac:dyDescent="0.3">
      <c r="A25" s="22" t="s">
        <v>634</v>
      </c>
      <c r="B25" s="16">
        <f>IF(B18=0,0,B19/B18)</f>
        <v>0.91666666666666663</v>
      </c>
      <c r="C25" s="41" t="s">
        <v>650</v>
      </c>
    </row>
  </sheetData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F7F7F"/>
    <pageSetUpPr fitToPage="1"/>
  </sheetPr>
  <dimension ref="A1:W21"/>
  <sheetViews>
    <sheetView showGridLines="0" tabSelected="1" zoomScaleNormal="100" workbookViewId="0"/>
  </sheetViews>
  <sheetFormatPr defaultColWidth="8.6640625" defaultRowHeight="14.4" x14ac:dyDescent="0.3"/>
  <cols>
    <col min="1" max="1" width="24" customWidth="1"/>
    <col min="2" max="3" width="14" customWidth="1"/>
    <col min="4" max="4" width="16" customWidth="1"/>
    <col min="5" max="5" width="18" customWidth="1"/>
    <col min="7" max="7" width="24" customWidth="1"/>
    <col min="9" max="9" width="18" customWidth="1"/>
    <col min="11" max="11" width="16" customWidth="1"/>
    <col min="13" max="13" width="14" customWidth="1"/>
    <col min="15" max="15" width="22" customWidth="1"/>
    <col min="17" max="17" width="14" customWidth="1"/>
    <col min="19" max="19" width="14" customWidth="1"/>
    <col min="21" max="21" width="14" customWidth="1"/>
    <col min="23" max="23" width="22" customWidth="1"/>
  </cols>
  <sheetData>
    <row r="1" spans="1:23" ht="21" x14ac:dyDescent="0.4">
      <c r="A1" s="1" t="s">
        <v>651</v>
      </c>
    </row>
    <row r="2" spans="1:23" x14ac:dyDescent="0.3">
      <c r="A2" s="2" t="s">
        <v>652</v>
      </c>
    </row>
    <row r="3" spans="1:23" x14ac:dyDescent="0.3">
      <c r="A3" s="11" t="s">
        <v>653</v>
      </c>
    </row>
    <row r="4" spans="1:23" ht="26.4" x14ac:dyDescent="0.3">
      <c r="A4" s="7" t="s">
        <v>89</v>
      </c>
      <c r="B4" s="7" t="s">
        <v>115</v>
      </c>
      <c r="C4" s="7" t="s">
        <v>116</v>
      </c>
      <c r="D4" s="7" t="s">
        <v>117</v>
      </c>
      <c r="E4" s="7" t="s">
        <v>654</v>
      </c>
      <c r="G4" s="7" t="s">
        <v>655</v>
      </c>
      <c r="I4" s="7" t="s">
        <v>119</v>
      </c>
      <c r="K4" s="7" t="s">
        <v>122</v>
      </c>
      <c r="M4" s="7" t="s">
        <v>656</v>
      </c>
      <c r="O4" s="7" t="s">
        <v>453</v>
      </c>
      <c r="Q4" s="7" t="s">
        <v>451</v>
      </c>
      <c r="S4" s="7" t="s">
        <v>455</v>
      </c>
      <c r="U4" s="7" t="s">
        <v>93</v>
      </c>
      <c r="W4" s="7" t="s">
        <v>456</v>
      </c>
    </row>
    <row r="5" spans="1:23" x14ac:dyDescent="0.3">
      <c r="A5" s="33" t="s">
        <v>159</v>
      </c>
      <c r="B5" s="33" t="s">
        <v>657</v>
      </c>
      <c r="C5" s="33" t="s">
        <v>658</v>
      </c>
      <c r="D5" s="42">
        <v>3.5</v>
      </c>
      <c r="E5" s="33">
        <v>2</v>
      </c>
      <c r="G5" s="33" t="s">
        <v>131</v>
      </c>
      <c r="I5" s="33" t="s">
        <v>133</v>
      </c>
      <c r="K5" s="33" t="s">
        <v>104</v>
      </c>
      <c r="M5" s="33" t="s">
        <v>83</v>
      </c>
      <c r="O5" s="33" t="s">
        <v>491</v>
      </c>
      <c r="Q5" s="33" t="s">
        <v>110</v>
      </c>
      <c r="S5" s="33" t="s">
        <v>475</v>
      </c>
      <c r="U5" s="33" t="s">
        <v>659</v>
      </c>
      <c r="W5" s="33" t="s">
        <v>469</v>
      </c>
    </row>
    <row r="6" spans="1:23" x14ac:dyDescent="0.3">
      <c r="A6" s="33" t="s">
        <v>135</v>
      </c>
      <c r="B6" s="33" t="s">
        <v>657</v>
      </c>
      <c r="C6" s="33" t="s">
        <v>660</v>
      </c>
      <c r="D6" s="42">
        <v>5.2</v>
      </c>
      <c r="E6" s="33">
        <v>3</v>
      </c>
      <c r="G6" s="33" t="s">
        <v>151</v>
      </c>
      <c r="I6" s="33" t="s">
        <v>144</v>
      </c>
      <c r="K6" s="33" t="s">
        <v>105</v>
      </c>
      <c r="M6" s="33" t="s">
        <v>84</v>
      </c>
      <c r="O6" s="33" t="s">
        <v>504</v>
      </c>
      <c r="Q6" s="33" t="s">
        <v>461</v>
      </c>
      <c r="S6" s="33" t="s">
        <v>464</v>
      </c>
      <c r="U6" s="33" t="s">
        <v>661</v>
      </c>
      <c r="W6" s="33" t="s">
        <v>662</v>
      </c>
    </row>
    <row r="7" spans="1:23" x14ac:dyDescent="0.3">
      <c r="A7" s="33" t="s">
        <v>161</v>
      </c>
      <c r="B7" s="33" t="s">
        <v>657</v>
      </c>
      <c r="C7" s="33" t="s">
        <v>663</v>
      </c>
      <c r="D7" s="42">
        <v>3</v>
      </c>
      <c r="E7" s="33">
        <v>2</v>
      </c>
      <c r="G7" s="33" t="s">
        <v>127</v>
      </c>
      <c r="I7" s="33" t="s">
        <v>129</v>
      </c>
      <c r="M7" s="33" t="s">
        <v>85</v>
      </c>
      <c r="O7" s="33" t="s">
        <v>483</v>
      </c>
      <c r="S7" s="33" t="s">
        <v>468</v>
      </c>
      <c r="U7" s="33" t="s">
        <v>94</v>
      </c>
      <c r="W7" s="33" t="s">
        <v>501</v>
      </c>
    </row>
    <row r="8" spans="1:23" x14ac:dyDescent="0.3">
      <c r="A8" s="33" t="s">
        <v>132</v>
      </c>
      <c r="B8" s="33" t="s">
        <v>657</v>
      </c>
      <c r="C8" s="33" t="s">
        <v>664</v>
      </c>
      <c r="D8" s="42">
        <v>7.5</v>
      </c>
      <c r="E8" s="33">
        <v>4</v>
      </c>
      <c r="G8" s="33" t="s">
        <v>146</v>
      </c>
      <c r="I8" s="33" t="s">
        <v>136</v>
      </c>
      <c r="O8" s="33" t="s">
        <v>477</v>
      </c>
      <c r="W8" s="33" t="s">
        <v>569</v>
      </c>
    </row>
    <row r="9" spans="1:23" x14ac:dyDescent="0.3">
      <c r="A9" s="33" t="s">
        <v>140</v>
      </c>
      <c r="B9" s="33" t="s">
        <v>657</v>
      </c>
      <c r="C9" s="33" t="s">
        <v>665</v>
      </c>
      <c r="D9" s="42">
        <v>9.5</v>
      </c>
      <c r="E9" s="33">
        <v>6</v>
      </c>
      <c r="G9" s="33" t="s">
        <v>142</v>
      </c>
      <c r="I9" s="33" t="s">
        <v>157</v>
      </c>
      <c r="O9" s="33" t="s">
        <v>467</v>
      </c>
      <c r="W9" s="33" t="s">
        <v>666</v>
      </c>
    </row>
    <row r="10" spans="1:23" x14ac:dyDescent="0.3">
      <c r="A10" s="33" t="s">
        <v>138</v>
      </c>
      <c r="B10" s="33" t="s">
        <v>657</v>
      </c>
      <c r="C10" s="33" t="s">
        <v>667</v>
      </c>
      <c r="D10" s="42">
        <v>12</v>
      </c>
      <c r="E10" s="33">
        <v>7</v>
      </c>
      <c r="G10" s="33" t="s">
        <v>156</v>
      </c>
      <c r="O10" s="33" t="s">
        <v>472</v>
      </c>
    </row>
    <row r="11" spans="1:23" x14ac:dyDescent="0.3">
      <c r="A11" s="33" t="s">
        <v>143</v>
      </c>
      <c r="B11" s="33" t="s">
        <v>657</v>
      </c>
      <c r="C11" s="33" t="s">
        <v>668</v>
      </c>
      <c r="D11" s="42">
        <v>4.5</v>
      </c>
      <c r="E11" s="33">
        <v>3</v>
      </c>
      <c r="G11" s="33" t="s">
        <v>167</v>
      </c>
      <c r="O11" s="33" t="s">
        <v>463</v>
      </c>
    </row>
    <row r="12" spans="1:23" x14ac:dyDescent="0.3">
      <c r="A12" s="33" t="s">
        <v>184</v>
      </c>
      <c r="B12" s="33" t="s">
        <v>657</v>
      </c>
      <c r="C12" s="33" t="s">
        <v>669</v>
      </c>
      <c r="D12" s="42">
        <v>2.8</v>
      </c>
      <c r="E12" s="33">
        <v>2</v>
      </c>
      <c r="G12" s="33" t="s">
        <v>180</v>
      </c>
      <c r="O12" s="33" t="s">
        <v>474</v>
      </c>
    </row>
    <row r="13" spans="1:23" x14ac:dyDescent="0.3">
      <c r="A13" s="33" t="s">
        <v>128</v>
      </c>
      <c r="B13" s="33" t="s">
        <v>670</v>
      </c>
      <c r="C13" s="33" t="s">
        <v>671</v>
      </c>
      <c r="D13" s="42">
        <v>1.8</v>
      </c>
      <c r="E13" s="33">
        <v>1</v>
      </c>
      <c r="G13" s="33" t="s">
        <v>171</v>
      </c>
    </row>
    <row r="14" spans="1:23" x14ac:dyDescent="0.3">
      <c r="A14" s="33" t="s">
        <v>152</v>
      </c>
      <c r="B14" s="33" t="s">
        <v>657</v>
      </c>
      <c r="C14" s="33" t="s">
        <v>672</v>
      </c>
      <c r="D14" s="42">
        <v>4</v>
      </c>
      <c r="E14" s="33">
        <v>2</v>
      </c>
      <c r="G14" s="33" t="s">
        <v>149</v>
      </c>
    </row>
    <row r="15" spans="1:23" x14ac:dyDescent="0.3">
      <c r="A15" s="33" t="s">
        <v>154</v>
      </c>
      <c r="B15" s="33" t="s">
        <v>657</v>
      </c>
      <c r="C15" s="33" t="s">
        <v>673</v>
      </c>
      <c r="D15" s="42">
        <v>8</v>
      </c>
      <c r="E15" s="33">
        <v>5</v>
      </c>
    </row>
    <row r="16" spans="1:23" x14ac:dyDescent="0.3">
      <c r="A16" s="33" t="s">
        <v>220</v>
      </c>
      <c r="B16" s="33" t="s">
        <v>657</v>
      </c>
      <c r="C16" s="33" t="s">
        <v>674</v>
      </c>
      <c r="D16" s="42">
        <v>9</v>
      </c>
      <c r="E16" s="33">
        <v>5</v>
      </c>
    </row>
    <row r="19" spans="1:3" x14ac:dyDescent="0.3">
      <c r="A19" s="11" t="s">
        <v>675</v>
      </c>
    </row>
    <row r="20" spans="1:3" x14ac:dyDescent="0.3">
      <c r="A20" s="12" t="s">
        <v>676</v>
      </c>
      <c r="B20" s="33">
        <v>7</v>
      </c>
      <c r="C20" s="2" t="s">
        <v>677</v>
      </c>
    </row>
    <row r="21" spans="1:3" x14ac:dyDescent="0.3">
      <c r="A21" s="12" t="s">
        <v>678</v>
      </c>
      <c r="B21" s="17">
        <f ca="1">TODAY()</f>
        <v>46284</v>
      </c>
      <c r="C21" s="2" t="s">
        <v>679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Dashboard</vt:lpstr>
      <vt:lpstr>MIS Report</vt:lpstr>
      <vt:lpstr>Shipment Data</vt:lpstr>
      <vt:lpstr>Doc Verification</vt:lpstr>
      <vt:lpstr>Data Quality</vt:lpstr>
      <vt:lpstr>Masters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Nitesh Chauhan</cp:lastModifiedBy>
  <cp:revision>1</cp:revision>
  <dcterms:created xsi:type="dcterms:W3CDTF">2026-09-19T15:52:41Z</dcterms:created>
  <dcterms:modified xsi:type="dcterms:W3CDTF">2026-09-19T15:58:07Z</dcterms:modified>
  <dc:language>en-US</dc:language>
</cp:coreProperties>
</file>